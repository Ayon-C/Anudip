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f1fd1d8faa56149/Desktop/"/>
    </mc:Choice>
  </mc:AlternateContent>
  <xr:revisionPtr revIDLastSave="0" documentId="8_{0E4EFDD9-7402-41A1-A5AF-E0391FCCAD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4" i="1" l="1"/>
  <c r="B49" i="1"/>
  <c r="B19" i="1"/>
  <c r="C44" i="1"/>
  <c r="D44" i="1"/>
  <c r="E44" i="1"/>
  <c r="F44" i="1"/>
  <c r="B44" i="1"/>
  <c r="B34" i="1"/>
  <c r="C34" i="1"/>
  <c r="D34" i="1"/>
  <c r="E34" i="1"/>
  <c r="F34" i="1"/>
  <c r="B29" i="1"/>
  <c r="C29" i="1"/>
  <c r="B39" i="1"/>
  <c r="B24" i="1"/>
  <c r="D29" i="1"/>
  <c r="E29" i="1"/>
  <c r="F29" i="1"/>
  <c r="G44" i="1" l="1"/>
  <c r="G34" i="1"/>
  <c r="G29" i="1"/>
</calcChain>
</file>

<file path=xl/sharedStrings.xml><?xml version="1.0" encoding="utf-8"?>
<sst xmlns="http://schemas.openxmlformats.org/spreadsheetml/2006/main" count="71" uniqueCount="33">
  <si>
    <t>INDEX and MATCH functions Exercise Questions</t>
  </si>
  <si>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</si>
  <si>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</si>
  <si>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</si>
  <si>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</si>
  <si>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</si>
  <si>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</si>
  <si>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</si>
  <si>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</si>
  <si>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PRODA</t>
  </si>
  <si>
    <t>PRODB</t>
  </si>
  <si>
    <t>PRODC</t>
  </si>
  <si>
    <t>PRODD</t>
  </si>
  <si>
    <t>PRODE</t>
  </si>
  <si>
    <t>PRODF</t>
  </si>
  <si>
    <t>Electronics</t>
  </si>
  <si>
    <t>Furniture</t>
  </si>
  <si>
    <t>Clothing</t>
  </si>
  <si>
    <t>SalesData</t>
  </si>
  <si>
    <t>Questions</t>
  </si>
  <si>
    <t>1. Use INDEX and MATCH to find the sales for Product C in March.</t>
  </si>
  <si>
    <t>2. Use INDEX and MATCH to find the category for Product E.</t>
  </si>
  <si>
    <t>3. Use INDEX and MATCH to find the maximum sales for Product B across all months.</t>
  </si>
  <si>
    <t>4. Use INDEX and MATCH to find the month with the maximum sales for Product A.</t>
  </si>
  <si>
    <t>5. Use INDEX, MATCH, and SUMIF to sum the sales for all products in the "Electronics" category for April.</t>
  </si>
  <si>
    <t>6. Use INDEX and MATCH to calculate the average sales for Product D across all months.</t>
  </si>
  <si>
    <t>7. Use INDEX and MATCH to find the sales for Product ID 105 in May.</t>
  </si>
  <si>
    <t>8. Use INDEX and MATCH to create a dynamic lookup where the user can input a product and a month, and the formula returns the corresponding sales.</t>
  </si>
  <si>
    <t>Max Sales</t>
  </si>
  <si>
    <t>Total Sales</t>
  </si>
  <si>
    <t>Avg Sales</t>
  </si>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</sst>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u/>
      <sz val="11"/>
      <color theme="8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1" fillId="3" borderId="5" xfId="0" applyFont="1" applyFill="1" applyBorder="1"/>
    <xf numFmtId="0" fontId="1" fillId="3" borderId="1" xfId="0" applyFont="1" applyFill="1" applyBorder="1"/>
    <xf numFmtId="0" fontId="1" fillId="3" borderId="6" xfId="0" applyFont="1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1" fillId="5" borderId="1" xfId="0" applyFont="1" applyFill="1" applyBorder="1"/>
    <xf numFmtId="0" fontId="1" fillId="3" borderId="10" xfId="0" applyFont="1" applyFill="1" applyBorder="1"/>
    <xf numFmtId="0" fontId="0" fillId="4" borderId="10" xfId="0" applyFill="1" applyBorder="1"/>
    <xf numFmtId="0" fontId="1" fillId="6" borderId="1" xfId="0" applyFont="1" applyFill="1" applyBorder="1"/>
    <xf numFmtId="0" fontId="0" fillId="7" borderId="1" xfId="0" applyFill="1" applyBorder="1"/>
    <xf numFmtId="0" fontId="0" fillId="8" borderId="1" xfId="0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9" borderId="1" xfId="0" applyFill="1" applyBorder="1"/>
    <xf numFmtId="0" fontId="7" fillId="10" borderId="0" xfId="0" applyFont="1" applyFill="1"/>
    <xf numFmtId="0" fontId="1" fillId="8" borderId="1" xfId="0" applyFont="1" applyFill="1" applyBorder="1"/>
    <xf numFmtId="0" fontId="5" fillId="11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tabSelected="1" topLeftCell="A25" zoomScale="124" workbookViewId="0">
      <selection activeCell="E49" sqref="E49"/>
    </sheetView>
  </sheetViews>
  <sheetFormatPr defaultRowHeight="14.4" x14ac:dyDescent="0.3"/>
  <cols>
    <col min="1" max="1" width="9.88671875" customWidth="1"/>
    <col min="2" max="2" width="10.33203125" customWidth="1"/>
    <col min="3" max="3" width="10.5546875" customWidth="1"/>
    <col min="6" max="6" width="10.44140625" customWidth="1"/>
    <col min="7" max="7" width="9.33203125" bestFit="1" customWidth="1"/>
  </cols>
  <sheetData>
    <row r="1" spans="1:8" ht="15" thickBot="1" x14ac:dyDescent="0.35">
      <c r="A1" s="2" t="s">
        <v>0</v>
      </c>
    </row>
    <row r="2" spans="1:8" x14ac:dyDescent="0.3">
      <c r="A2" s="18" t="s">
        <v>18</v>
      </c>
      <c r="B2" s="19"/>
      <c r="C2" s="19"/>
      <c r="D2" s="19"/>
      <c r="E2" s="19"/>
      <c r="F2" s="19"/>
      <c r="G2" s="19"/>
      <c r="H2" s="20"/>
    </row>
    <row r="3" spans="1:8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</row>
    <row r="4" spans="1:8" x14ac:dyDescent="0.3">
      <c r="A4" s="6">
        <v>101</v>
      </c>
      <c r="B4" s="7" t="s">
        <v>9</v>
      </c>
      <c r="C4" s="7" t="s">
        <v>15</v>
      </c>
      <c r="D4" s="7">
        <v>120</v>
      </c>
      <c r="E4" s="7">
        <v>130</v>
      </c>
      <c r="F4" s="7">
        <v>140</v>
      </c>
      <c r="G4" s="7">
        <v>150</v>
      </c>
      <c r="H4" s="8">
        <v>160</v>
      </c>
    </row>
    <row r="5" spans="1:8" x14ac:dyDescent="0.3">
      <c r="A5" s="6">
        <v>102</v>
      </c>
      <c r="B5" s="7" t="s">
        <v>10</v>
      </c>
      <c r="C5" s="7" t="s">
        <v>16</v>
      </c>
      <c r="D5" s="7">
        <v>150</v>
      </c>
      <c r="E5" s="7">
        <v>160</v>
      </c>
      <c r="F5" s="7">
        <v>170</v>
      </c>
      <c r="G5" s="7">
        <v>180</v>
      </c>
      <c r="H5" s="8">
        <v>190</v>
      </c>
    </row>
    <row r="6" spans="1:8" x14ac:dyDescent="0.3">
      <c r="A6" s="6">
        <v>103</v>
      </c>
      <c r="B6" s="7" t="s">
        <v>11</v>
      </c>
      <c r="C6" s="7" t="s">
        <v>15</v>
      </c>
      <c r="D6" s="7">
        <v>200</v>
      </c>
      <c r="E6" s="7">
        <v>210</v>
      </c>
      <c r="F6" s="7">
        <v>220</v>
      </c>
      <c r="G6" s="7">
        <v>230</v>
      </c>
      <c r="H6" s="8">
        <v>240</v>
      </c>
    </row>
    <row r="7" spans="1:8" x14ac:dyDescent="0.3">
      <c r="A7" s="6">
        <v>104</v>
      </c>
      <c r="B7" s="7" t="s">
        <v>12</v>
      </c>
      <c r="C7" s="7" t="s">
        <v>17</v>
      </c>
      <c r="D7" s="7">
        <v>90</v>
      </c>
      <c r="E7" s="7">
        <v>100</v>
      </c>
      <c r="F7" s="7">
        <v>110</v>
      </c>
      <c r="G7" s="7">
        <v>120</v>
      </c>
      <c r="H7" s="8">
        <v>130</v>
      </c>
    </row>
    <row r="8" spans="1:8" x14ac:dyDescent="0.3">
      <c r="A8" s="6">
        <v>105</v>
      </c>
      <c r="B8" s="7" t="s">
        <v>13</v>
      </c>
      <c r="C8" s="7" t="s">
        <v>16</v>
      </c>
      <c r="D8" s="7">
        <v>220</v>
      </c>
      <c r="E8" s="7">
        <v>230</v>
      </c>
      <c r="F8" s="7">
        <v>240</v>
      </c>
      <c r="G8" s="7">
        <v>250</v>
      </c>
      <c r="H8" s="8">
        <v>260</v>
      </c>
    </row>
    <row r="9" spans="1:8" ht="15" thickBot="1" x14ac:dyDescent="0.35">
      <c r="A9" s="9">
        <v>106</v>
      </c>
      <c r="B9" s="10" t="s">
        <v>14</v>
      </c>
      <c r="C9" s="10" t="s">
        <v>15</v>
      </c>
      <c r="D9" s="10">
        <v>130</v>
      </c>
      <c r="E9" s="10">
        <v>140</v>
      </c>
      <c r="F9" s="10">
        <v>150</v>
      </c>
      <c r="G9" s="10">
        <v>160</v>
      </c>
      <c r="H9" s="11">
        <v>170</v>
      </c>
    </row>
    <row r="14" spans="1:8" x14ac:dyDescent="0.3">
      <c r="A14" s="1" t="s">
        <v>19</v>
      </c>
    </row>
    <row r="16" spans="1:8" x14ac:dyDescent="0.3">
      <c r="A16" s="22" t="s">
        <v>20</v>
      </c>
      <c r="B16" s="22"/>
      <c r="C16" s="22"/>
      <c r="D16" s="22"/>
      <c r="E16" s="22"/>
      <c r="F16" s="22"/>
    </row>
    <row r="18" spans="1:8" x14ac:dyDescent="0.3">
      <c r="A18" s="4" t="s">
        <v>2</v>
      </c>
      <c r="B18" s="24" t="s">
        <v>6</v>
      </c>
    </row>
    <row r="19" spans="1:8" x14ac:dyDescent="0.3">
      <c r="A19" s="7" t="s">
        <v>11</v>
      </c>
      <c r="B19" s="12">
        <f>INDEX(F4:F9,MATCH(A19,B4:B9,0))</f>
        <v>220</v>
      </c>
    </row>
    <row r="21" spans="1:8" x14ac:dyDescent="0.3">
      <c r="A21" s="22" t="s">
        <v>21</v>
      </c>
      <c r="B21" s="22"/>
      <c r="C21" s="22"/>
      <c r="D21" s="22"/>
      <c r="E21" s="22"/>
      <c r="F21" s="22"/>
    </row>
    <row r="23" spans="1:8" x14ac:dyDescent="0.3">
      <c r="A23" s="4" t="s">
        <v>2</v>
      </c>
      <c r="B23" s="24" t="s">
        <v>3</v>
      </c>
    </row>
    <row r="24" spans="1:8" x14ac:dyDescent="0.3">
      <c r="A24" s="7" t="s">
        <v>11</v>
      </c>
      <c r="B24" s="12" t="str">
        <f>INDEX(C4:C9,MATCH(A24,B4:B9,0))</f>
        <v>Electronics</v>
      </c>
    </row>
    <row r="26" spans="1:8" x14ac:dyDescent="0.3">
      <c r="A26" s="22" t="s">
        <v>22</v>
      </c>
      <c r="B26" s="22"/>
      <c r="C26" s="22"/>
      <c r="D26" s="22"/>
      <c r="E26" s="22"/>
      <c r="F26" s="22"/>
      <c r="G26" s="22"/>
      <c r="H26" s="22"/>
    </row>
    <row r="28" spans="1:8" x14ac:dyDescent="0.3">
      <c r="A28" s="13" t="s">
        <v>2</v>
      </c>
      <c r="B28" s="4" t="s">
        <v>4</v>
      </c>
      <c r="C28" s="4" t="s">
        <v>5</v>
      </c>
      <c r="D28" s="4" t="s">
        <v>6</v>
      </c>
      <c r="E28" s="4" t="s">
        <v>7</v>
      </c>
      <c r="F28" s="4" t="s">
        <v>8</v>
      </c>
      <c r="G28" s="15" t="s">
        <v>28</v>
      </c>
    </row>
    <row r="29" spans="1:8" x14ac:dyDescent="0.3">
      <c r="A29" s="14" t="s">
        <v>10</v>
      </c>
      <c r="B29" s="16">
        <f>INDEX(D4:D9,MATCH($A$29,$B$4:$B$9,0))</f>
        <v>150</v>
      </c>
      <c r="C29" s="16">
        <f>INDEX(E4:E9,MATCH($A$29,$B$4:$B$9,0))</f>
        <v>160</v>
      </c>
      <c r="D29" s="16">
        <f>INDEX(F4:F9,MATCH($A$29,$B$4:$B$9,0))</f>
        <v>170</v>
      </c>
      <c r="E29" s="16">
        <f>INDEX(G4:G9,MATCH($A$29,$B$4:$B$9,0))</f>
        <v>180</v>
      </c>
      <c r="F29" s="16">
        <f>INDEX(H4:H9,MATCH($A$29,$B$4:$B$9,0))</f>
        <v>190</v>
      </c>
      <c r="G29" s="23">
        <f>MAX(B29:F29)</f>
        <v>190</v>
      </c>
    </row>
    <row r="31" spans="1:8" x14ac:dyDescent="0.3">
      <c r="A31" s="22" t="s">
        <v>23</v>
      </c>
      <c r="B31" s="22"/>
      <c r="C31" s="22"/>
      <c r="D31" s="22"/>
      <c r="E31" s="22"/>
      <c r="F31" s="22"/>
      <c r="G31" s="22"/>
      <c r="H31" s="22"/>
    </row>
    <row r="33" spans="1:10" x14ac:dyDescent="0.3">
      <c r="A33" s="13" t="s">
        <v>2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15" t="s">
        <v>28</v>
      </c>
    </row>
    <row r="34" spans="1:10" x14ac:dyDescent="0.3">
      <c r="A34" s="14" t="s">
        <v>9</v>
      </c>
      <c r="B34" s="16">
        <f>INDEX(D4:D9,MATCH($A$34,$B$4:$B$9,0))</f>
        <v>120</v>
      </c>
      <c r="C34" s="16">
        <f>INDEX(E4:E9,MATCH($A$34,$B$4:$B$9,0))</f>
        <v>130</v>
      </c>
      <c r="D34" s="16">
        <f>INDEX(F4:F9,MATCH($A$34,$B$4:$B$9,0))</f>
        <v>140</v>
      </c>
      <c r="E34" s="16">
        <f>INDEX(G4:G9,MATCH($A$34,$B$4:$B$9,0))</f>
        <v>150</v>
      </c>
      <c r="F34" s="16">
        <f>INDEX(H4:H9,MATCH($A$34,$B$4:$B$9,0))</f>
        <v>160</v>
      </c>
      <c r="G34" s="23">
        <f>MAX(B34:F34)</f>
        <v>160</v>
      </c>
    </row>
    <row r="36" spans="1:10" x14ac:dyDescent="0.3">
      <c r="A36" s="22" t="s">
        <v>24</v>
      </c>
      <c r="B36" s="22"/>
      <c r="C36" s="22"/>
      <c r="D36" s="22"/>
      <c r="E36" s="22"/>
      <c r="F36" s="22"/>
      <c r="G36" s="22"/>
      <c r="H36" s="22"/>
      <c r="I36" s="22"/>
      <c r="J36" s="22"/>
    </row>
    <row r="38" spans="1:10" x14ac:dyDescent="0.3">
      <c r="A38" s="4" t="s">
        <v>3</v>
      </c>
      <c r="B38" s="24" t="s">
        <v>29</v>
      </c>
    </row>
    <row r="39" spans="1:10" x14ac:dyDescent="0.3">
      <c r="A39" s="7" t="s">
        <v>15</v>
      </c>
      <c r="B39" s="12">
        <f>SUMIF(C4:C9,"Electronics",INDEX(D4:G9,0,MATCH("Apr Sales",D3:G3,0)))</f>
        <v>540</v>
      </c>
    </row>
    <row r="41" spans="1:10" x14ac:dyDescent="0.3">
      <c r="A41" s="22" t="s">
        <v>25</v>
      </c>
      <c r="B41" s="22"/>
      <c r="C41" s="22"/>
      <c r="D41" s="22"/>
      <c r="E41" s="22"/>
      <c r="F41" s="22"/>
      <c r="G41" s="22"/>
      <c r="H41" s="22"/>
      <c r="I41" s="22"/>
    </row>
    <row r="43" spans="1:10" x14ac:dyDescent="0.3">
      <c r="A43" s="13" t="s">
        <v>2</v>
      </c>
      <c r="B43" s="4" t="s">
        <v>4</v>
      </c>
      <c r="C43" s="4" t="s">
        <v>5</v>
      </c>
      <c r="D43" s="4" t="s">
        <v>6</v>
      </c>
      <c r="E43" s="4" t="s">
        <v>7</v>
      </c>
      <c r="F43" s="4" t="s">
        <v>8</v>
      </c>
      <c r="G43" s="15" t="s">
        <v>30</v>
      </c>
    </row>
    <row r="44" spans="1:10" x14ac:dyDescent="0.3">
      <c r="A44" s="14" t="s">
        <v>12</v>
      </c>
      <c r="B44" s="16">
        <f>INDEX(D4:D9,MATCH($A$44,$B$4:$B$9,0))</f>
        <v>90</v>
      </c>
      <c r="C44" s="16">
        <f>INDEX(E4:E9,MATCH($A$44,$B$4:$B$9,0))</f>
        <v>100</v>
      </c>
      <c r="D44" s="16">
        <f>INDEX(F4:F9,MATCH($A$44,$B$4:$B$9,0))</f>
        <v>110</v>
      </c>
      <c r="E44" s="16">
        <f>INDEX(G4:G9,MATCH($A$44,$B$4:$B$9,0))</f>
        <v>120</v>
      </c>
      <c r="F44" s="16">
        <f>INDEX(H4:H9,MATCH($A$44,$B$4:$B$9,0))</f>
        <v>130</v>
      </c>
      <c r="G44" s="23">
        <f>AVERAGE(B44:F44)</f>
        <v>110</v>
      </c>
    </row>
    <row r="46" spans="1:10" x14ac:dyDescent="0.3">
      <c r="A46" s="22" t="s">
        <v>26</v>
      </c>
      <c r="B46" s="22"/>
      <c r="C46" s="22"/>
      <c r="D46" s="22"/>
      <c r="E46" s="22"/>
      <c r="F46" s="22"/>
      <c r="G46" s="22"/>
    </row>
    <row r="48" spans="1:10" x14ac:dyDescent="0.3">
      <c r="A48" s="4" t="s">
        <v>1</v>
      </c>
      <c r="B48" s="24" t="s">
        <v>8</v>
      </c>
    </row>
    <row r="49" spans="1:14" x14ac:dyDescent="0.3">
      <c r="A49" s="7">
        <v>105</v>
      </c>
      <c r="B49" s="12">
        <f>INDEX(H4:H9,MATCH(A49,A4:A9,0))</f>
        <v>260</v>
      </c>
    </row>
    <row r="51" spans="1:14" x14ac:dyDescent="0.3">
      <c r="A51" s="22" t="s">
        <v>27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</row>
    <row r="53" spans="1:14" x14ac:dyDescent="0.3">
      <c r="A53" s="4" t="s">
        <v>2</v>
      </c>
      <c r="B53" s="15" t="s">
        <v>31</v>
      </c>
      <c r="C53" s="24" t="s">
        <v>32</v>
      </c>
    </row>
    <row r="54" spans="1:14" x14ac:dyDescent="0.3">
      <c r="A54" s="21" t="s">
        <v>12</v>
      </c>
      <c r="B54" s="17" t="s">
        <v>7</v>
      </c>
      <c r="C54" s="12">
        <f>INDEX(D4:H9,MATCH(A54,B4:B9,0),MATCH(B54,D3:H3,0))</f>
        <v>120</v>
      </c>
    </row>
  </sheetData>
  <mergeCells count="9">
    <mergeCell ref="A36:J36"/>
    <mergeCell ref="A41:I41"/>
    <mergeCell ref="A46:G46"/>
    <mergeCell ref="A51:N51"/>
    <mergeCell ref="A2:H2"/>
    <mergeCell ref="A16:F16"/>
    <mergeCell ref="A21:F21"/>
    <mergeCell ref="A26:H26"/>
    <mergeCell ref="A31:H31"/>
  </mergeCells>
  <phoneticPr fontId="6" type="noConversion"/>
  <dataValidations count="2">
    <dataValidation type="list" allowBlank="1" showInputMessage="1" showErrorMessage="1" sqref="A54" xr:uid="{2989EB7F-C8AC-4608-BDE5-8B998E81ACE4}">
      <formula1>$B$4:$B$9</formula1>
    </dataValidation>
    <dataValidation type="list" allowBlank="1" showInputMessage="1" showErrorMessage="1" sqref="B54" xr:uid="{35817A90-8FA9-4DDA-BB32-9CF1D169674E}">
      <formula1>$D$3:$H$3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Bose</dc:creator>
  <cp:lastModifiedBy>Ayon Chakraborty</cp:lastModifiedBy>
  <dcterms:created xsi:type="dcterms:W3CDTF">2015-06-05T18:17:20Z</dcterms:created>
  <dcterms:modified xsi:type="dcterms:W3CDTF">2026-08-12T23:16:42Z</dcterms:modified>
</cp:coreProperties>
</file>