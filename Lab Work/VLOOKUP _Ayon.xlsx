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1fd1d8faa56149/Desktop/"/>
    </mc:Choice>
  </mc:AlternateContent>
  <xr:revisionPtr revIDLastSave="187" documentId="8_{900BA90B-053D-4C31-9273-0D7EC06415F4}" xr6:coauthVersionLast="47" xr6:coauthVersionMax="47" xr10:uidLastSave="{935BE5D5-4DCC-42D1-BE8E-CB9C447607F5}"/>
  <bookViews>
    <workbookView xWindow="-108" yWindow="-108" windowWidth="23256" windowHeight="12456" activeTab="1" xr2:uid="{3B2B1040-3DB8-4511-8003-9B2E3034A9EC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D3" i="1"/>
  <c r="D4" i="1"/>
  <c r="D5" i="1"/>
  <c r="D6" i="1"/>
  <c r="D7" i="1"/>
  <c r="D8" i="1"/>
  <c r="D2" i="1"/>
  <c r="H8" i="2"/>
  <c r="G8" i="2"/>
  <c r="F8" i="2"/>
  <c r="F9" i="2"/>
  <c r="H3" i="2"/>
  <c r="G3" i="2"/>
  <c r="G4" i="2"/>
  <c r="G5" i="2"/>
  <c r="G6" i="2"/>
  <c r="G7" i="2"/>
  <c r="G2" i="2"/>
  <c r="F3" i="2"/>
  <c r="F4" i="2"/>
  <c r="F5" i="2"/>
  <c r="F6" i="2"/>
  <c r="F7" i="2"/>
  <c r="F2" i="2"/>
  <c r="E3" i="2"/>
  <c r="E4" i="2"/>
  <c r="H4" i="2" s="1"/>
  <c r="E5" i="2"/>
  <c r="H5" i="2" s="1"/>
  <c r="E6" i="2"/>
  <c r="H6" i="2" s="1"/>
  <c r="E7" i="2"/>
  <c r="H7" i="2" s="1"/>
  <c r="E2" i="2"/>
  <c r="H2" i="2" s="1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<sst xmlns="http://schemas.openxmlformats.org/spreadsheetml/2006/main" count="32" uniqueCount="28">
  <si>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</si>
  <si>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</si>
  <si>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</si>
  <si>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</si>
  <si>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</si>
  <si>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</si>
  <si>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</si>
  <si>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</si>
  <si>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ProductID</t>
  </si>
  <si>
    <t>OrderID</t>
  </si>
  <si>
    <t>Quantity</t>
  </si>
  <si>
    <t xml:space="preserve">1. Use VLOOKUP to find the product names for each ProductID in the Orders worksheet. </t>
  </si>
  <si>
    <t xml:space="preserve">2. Use VLOOKUP to find the price for each ProductID in the Orders worksheet, then calculate the TotalPrice by multiplying the Quantity by the Product Price. </t>
  </si>
  <si>
    <t>Product Name</t>
  </si>
  <si>
    <t>3. Use VLOOKUP to check if there are any ProductIDs in the Orders worksheet that do not exist in the Products worksheet.</t>
  </si>
  <si>
    <t xml:space="preserve"> </t>
  </si>
  <si>
    <t xml:space="preserve">4. Assume a discount of 10% is given on all products. Use VLOOKUP to find the original price and then calculate the discounted price. </t>
  </si>
  <si>
    <t>Total price</t>
  </si>
  <si>
    <t>Exesting ProductID</t>
  </si>
  <si>
    <t>Discounted Price</t>
  </si>
  <si>
    <t xml:space="preserve">5. Use VLOOKUP to find the price for each ProductID and then calculate the order value. Find the maximum order value from the list. </t>
  </si>
  <si>
    <t>Maximum  Value</t>
  </si>
  <si>
    <t>Product G</t>
  </si>
  <si>
    <t xml:space="preserve">6. Use VLOOKUP to find out which products from the Products worksheet have not been ordered. </t>
  </si>
  <si>
    <t xml:space="preserve">7. Use VLOOKUP to find the Product name and summarize the total quantity sold for each product. </t>
  </si>
  <si>
    <t>Ordered/Not Ordered</t>
  </si>
  <si>
    <t>Product H</t>
  </si>
  <si>
    <t>Summarze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</si>
</sst>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A6B5-3DEA-42BB-965E-C6C22C92B46E}">
  <dimension ref="A1:D8"/>
  <sheetViews>
    <sheetView workbookViewId="0">
      <selection activeCell="D1" sqref="A1:D1"/>
    </sheetView>
  </sheetViews>
  <sheetFormatPr defaultRowHeight="14.4" x14ac:dyDescent="0.3"/>
  <cols>
    <col min="1" max="1" width="9.5546875" bestFit="1" customWidth="1"/>
    <col min="4" max="4" width="19.44140625" bestFit="1" customWidth="1"/>
  </cols>
  <sheetData>
    <row r="1" spans="1:4" x14ac:dyDescent="0.3">
      <c r="A1" s="2" t="s">
        <v>8</v>
      </c>
      <c r="B1" s="2" t="s">
        <v>0</v>
      </c>
      <c r="C1" s="2" t="s">
        <v>1</v>
      </c>
      <c r="D1" s="2" t="s">
        <v>25</v>
      </c>
    </row>
    <row r="2" spans="1:4" x14ac:dyDescent="0.3">
      <c r="A2" s="7">
        <v>101</v>
      </c>
      <c r="B2" s="7" t="s">
        <v>2</v>
      </c>
      <c r="C2" s="7">
        <v>120</v>
      </c>
      <c r="D2" s="7" t="str">
        <f>IF(ISNA(VLOOKUP(A2,Orders!$B$1:$B$8,1,0)),"No", "Yes")</f>
        <v>Yes</v>
      </c>
    </row>
    <row r="3" spans="1:4" x14ac:dyDescent="0.3">
      <c r="A3" s="7">
        <v>102</v>
      </c>
      <c r="B3" s="7" t="s">
        <v>3</v>
      </c>
      <c r="C3" s="7">
        <v>150</v>
      </c>
      <c r="D3" s="7" t="str">
        <f>IF(ISNA(VLOOKUP(A3,Orders!$B$1:$B$8,1,0)),"No", "Yes")</f>
        <v>Yes</v>
      </c>
    </row>
    <row r="4" spans="1:4" x14ac:dyDescent="0.3">
      <c r="A4" s="7">
        <v>103</v>
      </c>
      <c r="B4" s="7" t="s">
        <v>4</v>
      </c>
      <c r="C4" s="7">
        <v>200</v>
      </c>
      <c r="D4" s="7" t="str">
        <f>IF(ISNA(VLOOKUP(A4,Orders!$B$1:$B$8,1,0)),"No", "Yes")</f>
        <v>Yes</v>
      </c>
    </row>
    <row r="5" spans="1:4" x14ac:dyDescent="0.3">
      <c r="A5" s="7">
        <v>104</v>
      </c>
      <c r="B5" s="7" t="s">
        <v>5</v>
      </c>
      <c r="C5" s="7">
        <v>90</v>
      </c>
      <c r="D5" s="7" t="str">
        <f>IF(ISNA(VLOOKUP(A5,Orders!$B$1:$B$8,1,0)),"No", "Yes")</f>
        <v>Yes</v>
      </c>
    </row>
    <row r="6" spans="1:4" x14ac:dyDescent="0.3">
      <c r="A6" s="7">
        <v>105</v>
      </c>
      <c r="B6" s="7" t="s">
        <v>6</v>
      </c>
      <c r="C6" s="7">
        <v>220</v>
      </c>
      <c r="D6" s="7" t="str">
        <f>IF(ISNA(VLOOKUP(A6,Orders!$B$1:$B$8,1,0)),"No", "Yes")</f>
        <v>Yes</v>
      </c>
    </row>
    <row r="7" spans="1:4" x14ac:dyDescent="0.3">
      <c r="A7" s="7">
        <v>106</v>
      </c>
      <c r="B7" s="7" t="s">
        <v>7</v>
      </c>
      <c r="C7" s="7">
        <v>130</v>
      </c>
      <c r="D7" s="7" t="str">
        <f>IF(ISNA(VLOOKUP(A7,Orders!$B$1:$B$8,1,0)),"No", "Yes")</f>
        <v>Yes</v>
      </c>
    </row>
    <row r="8" spans="1:4" x14ac:dyDescent="0.3">
      <c r="A8" s="7">
        <v>108</v>
      </c>
      <c r="B8" s="7" t="s">
        <v>26</v>
      </c>
      <c r="C8" s="7">
        <v>200</v>
      </c>
      <c r="D8" s="7" t="str">
        <f>IF(ISNA(VLOOKUP(A8,Orders!$B$1:$B$8,1,0)),"No", "Yes")</f>
        <v>No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BEBE-2B42-4F54-89DA-E2C96E99BE51}">
  <dimension ref="A1:O45"/>
  <sheetViews>
    <sheetView tabSelected="1" workbookViewId="0">
      <selection activeCell="J21" sqref="J21"/>
    </sheetView>
  </sheetViews>
  <sheetFormatPr defaultRowHeight="14.4" x14ac:dyDescent="0.3"/>
  <cols>
    <col min="1" max="1" width="8.88671875" customWidth="1"/>
    <col min="2" max="2" width="9.44140625" bestFit="1" customWidth="1"/>
    <col min="3" max="3" width="12" bestFit="1" customWidth="1"/>
    <col min="4" max="4" width="16.88671875" bestFit="1" customWidth="1"/>
    <col min="5" max="5" width="15.109375" bestFit="1" customWidth="1"/>
    <col min="6" max="6" width="15.33203125" bestFit="1" customWidth="1"/>
    <col min="7" max="7" width="16.88671875" bestFit="1" customWidth="1"/>
    <col min="8" max="8" width="15.109375" bestFit="1" customWidth="1"/>
    <col min="9" max="9" width="19.44140625" bestFit="1" customWidth="1"/>
    <col min="11" max="11" width="13.21875" bestFit="1" customWidth="1"/>
    <col min="12" max="12" width="17.88671875" bestFit="1" customWidth="1"/>
    <col min="13" max="13" width="8.88671875" customWidth="1"/>
  </cols>
  <sheetData>
    <row r="1" spans="1:12" x14ac:dyDescent="0.3">
      <c r="A1" s="2" t="s">
        <v>9</v>
      </c>
      <c r="B1" s="2" t="s">
        <v>8</v>
      </c>
      <c r="C1" s="2" t="s">
        <v>10</v>
      </c>
      <c r="D1" s="2" t="s">
        <v>13</v>
      </c>
      <c r="E1" s="2" t="s">
        <v>1</v>
      </c>
      <c r="F1" s="2" t="s">
        <v>17</v>
      </c>
      <c r="G1" s="2" t="s">
        <v>18</v>
      </c>
      <c r="H1" s="2" t="s">
        <v>19</v>
      </c>
      <c r="I1" s="1"/>
    </row>
    <row r="2" spans="1:12" x14ac:dyDescent="0.3">
      <c r="A2" s="7">
        <v>1</v>
      </c>
      <c r="B2" s="7">
        <v>101</v>
      </c>
      <c r="C2" s="7">
        <v>2</v>
      </c>
      <c r="D2" s="9" t="str">
        <f>VLOOKUP(B2,Products!$A$1:$C$7,2,0)</f>
        <v>Product A</v>
      </c>
      <c r="E2" s="6">
        <f>VLOOKUP(B2,Products!$A$1:$C$7,3,0)</f>
        <v>120</v>
      </c>
      <c r="F2" s="5">
        <f>E2*C2</f>
        <v>240</v>
      </c>
      <c r="G2" s="6" t="str">
        <f>IF(ISNA(VLOOKUP(B2,Products!$A$1:$C$7,1,0)),"Not Exist"," Exist")</f>
        <v xml:space="preserve"> Exist</v>
      </c>
      <c r="H2" s="8">
        <f>E2*0.9</f>
        <v>108</v>
      </c>
      <c r="K2" s="2" t="s">
        <v>13</v>
      </c>
      <c r="L2" s="2" t="s">
        <v>27</v>
      </c>
    </row>
    <row r="3" spans="1:12" x14ac:dyDescent="0.3">
      <c r="A3" s="7">
        <v>2</v>
      </c>
      <c r="B3" s="7">
        <v>103</v>
      </c>
      <c r="C3" s="7">
        <v>1</v>
      </c>
      <c r="D3" s="9" t="str">
        <f>VLOOKUP(B3,Products!$A$1:$C$7,2,0)</f>
        <v>Product C</v>
      </c>
      <c r="E3" s="6">
        <f>VLOOKUP(B3,Products!$A$1:$C$7,3,0)</f>
        <v>200</v>
      </c>
      <c r="F3" s="5">
        <f t="shared" ref="F3:F8" si="0">E3*C3</f>
        <v>200</v>
      </c>
      <c r="G3" s="6" t="str">
        <f>IF(ISNA(VLOOKUP(B3,Products!$A$1:$C$7,1,0)),"Not Exist"," Exist")</f>
        <v xml:space="preserve"> Exist</v>
      </c>
      <c r="H3" s="8">
        <f t="shared" ref="H3:H8" si="1">E3*0.9</f>
        <v>180</v>
      </c>
      <c r="K3" s="10" t="s">
        <v>5</v>
      </c>
      <c r="L3" s="11">
        <f>SUMIF(D2:D8,K3,C2:C8)</f>
        <v>6</v>
      </c>
    </row>
    <row r="4" spans="1:12" x14ac:dyDescent="0.3">
      <c r="A4" s="7">
        <v>3</v>
      </c>
      <c r="B4" s="7">
        <v>105</v>
      </c>
      <c r="C4" s="7">
        <v>4</v>
      </c>
      <c r="D4" s="9" t="str">
        <f>VLOOKUP(B4,Products!$A$1:$C$7,2,0)</f>
        <v>Product E</v>
      </c>
      <c r="E4" s="6">
        <f>VLOOKUP(B4,Products!$A$1:$C$7,3,0)</f>
        <v>220</v>
      </c>
      <c r="F4" s="5">
        <f t="shared" si="0"/>
        <v>880</v>
      </c>
      <c r="G4" s="6" t="str">
        <f>IF(ISNA(VLOOKUP(B4,Products!$A$1:$C$7,1,0)),"Not Exist"," Exist")</f>
        <v xml:space="preserve"> Exist</v>
      </c>
      <c r="H4" s="8">
        <f t="shared" si="1"/>
        <v>198</v>
      </c>
    </row>
    <row r="5" spans="1:12" x14ac:dyDescent="0.3">
      <c r="A5" s="7">
        <v>4</v>
      </c>
      <c r="B5" s="7">
        <v>106</v>
      </c>
      <c r="C5" s="7">
        <v>3</v>
      </c>
      <c r="D5" s="9" t="str">
        <f>VLOOKUP(B5,Products!$A$1:$C$7,2,0)</f>
        <v>Product F</v>
      </c>
      <c r="E5" s="6">
        <f>VLOOKUP(B5,Products!$A$1:$C$7,3,0)</f>
        <v>130</v>
      </c>
      <c r="F5" s="5">
        <f t="shared" si="0"/>
        <v>390</v>
      </c>
      <c r="G5" s="6" t="str">
        <f>IF(ISNA(VLOOKUP(B5,Products!$A$1:$C$7,1,0)),"Not Exist"," Exist")</f>
        <v xml:space="preserve"> Exist</v>
      </c>
      <c r="H5" s="8">
        <f t="shared" si="1"/>
        <v>117</v>
      </c>
    </row>
    <row r="6" spans="1:12" x14ac:dyDescent="0.3">
      <c r="A6" s="7">
        <v>5</v>
      </c>
      <c r="B6" s="7">
        <v>102</v>
      </c>
      <c r="C6" s="7">
        <v>5</v>
      </c>
      <c r="D6" s="9" t="str">
        <f>VLOOKUP(B6,Products!$A$1:$C$7,2,0)</f>
        <v>Product B</v>
      </c>
      <c r="E6" s="6">
        <f>VLOOKUP(B6,Products!$A$1:$C$7,3,0)</f>
        <v>150</v>
      </c>
      <c r="F6" s="5">
        <f t="shared" si="0"/>
        <v>750</v>
      </c>
      <c r="G6" s="6" t="str">
        <f>IF(ISNA(VLOOKUP(B6,Products!$A$1:$C$7,1,0)),"Not Exist"," Exist")</f>
        <v xml:space="preserve"> Exist</v>
      </c>
      <c r="H6" s="8">
        <f t="shared" si="1"/>
        <v>135</v>
      </c>
    </row>
    <row r="7" spans="1:12" x14ac:dyDescent="0.3">
      <c r="A7" s="7">
        <v>6</v>
      </c>
      <c r="B7" s="7">
        <v>104</v>
      </c>
      <c r="C7" s="7">
        <v>6</v>
      </c>
      <c r="D7" s="9" t="str">
        <f>VLOOKUP(B7,Products!$A$1:$C$7,2,0)</f>
        <v>Product D</v>
      </c>
      <c r="E7" s="6">
        <f>VLOOKUP(B7,Products!$A$1:$C$7,3,0)</f>
        <v>90</v>
      </c>
      <c r="F7" s="5">
        <f t="shared" si="0"/>
        <v>540</v>
      </c>
      <c r="G7" s="6" t="str">
        <f>IF(ISNA(VLOOKUP(B7,Products!$A$1:$C$7,1,0)),"Not Exist"," Exist")</f>
        <v xml:space="preserve"> Exist</v>
      </c>
      <c r="H7" s="8">
        <f t="shared" si="1"/>
        <v>81</v>
      </c>
    </row>
    <row r="8" spans="1:12" x14ac:dyDescent="0.3">
      <c r="A8" s="7">
        <v>7</v>
      </c>
      <c r="B8" s="7">
        <v>107</v>
      </c>
      <c r="C8" s="7">
        <v>3</v>
      </c>
      <c r="D8" s="9" t="s">
        <v>22</v>
      </c>
      <c r="E8" s="6">
        <v>110</v>
      </c>
      <c r="F8" s="5">
        <f t="shared" si="0"/>
        <v>330</v>
      </c>
      <c r="G8" s="7" t="str">
        <f>IF(ISNA(VLOOKUP(B8,Products!$A$1:$C$7,1,0)),"Not Exist"," Exist")</f>
        <v>Not Exist</v>
      </c>
      <c r="H8" s="8">
        <f t="shared" si="1"/>
        <v>99</v>
      </c>
    </row>
    <row r="9" spans="1:12" x14ac:dyDescent="0.3">
      <c r="B9" s="1"/>
      <c r="C9" s="1"/>
      <c r="E9" s="3" t="s">
        <v>21</v>
      </c>
      <c r="F9" s="4">
        <f>MAX(F2:F7)</f>
        <v>880</v>
      </c>
    </row>
    <row r="12" spans="1:12" x14ac:dyDescent="0.3">
      <c r="A12" s="1"/>
      <c r="B12" s="1"/>
      <c r="C12" s="1"/>
      <c r="D12" s="1"/>
      <c r="E12" s="1"/>
    </row>
    <row r="13" spans="1:12" x14ac:dyDescent="0.3">
      <c r="A13" s="12" t="s">
        <v>11</v>
      </c>
      <c r="B13" s="12"/>
      <c r="C13" s="12"/>
      <c r="D13" s="12"/>
      <c r="E13" s="12"/>
      <c r="F13" s="12"/>
      <c r="G13" s="12"/>
      <c r="H13" s="12"/>
      <c r="I13" s="12"/>
    </row>
    <row r="14" spans="1:12" x14ac:dyDescent="0.3">
      <c r="A14" s="12" t="s">
        <v>12</v>
      </c>
      <c r="B14" s="12"/>
      <c r="C14" s="12"/>
      <c r="D14" s="12"/>
      <c r="E14" s="12"/>
      <c r="F14" s="12"/>
      <c r="G14" s="12"/>
      <c r="H14" s="12"/>
      <c r="I14" s="12"/>
    </row>
    <row r="15" spans="1:12" x14ac:dyDescent="0.3">
      <c r="A15" s="12" t="s">
        <v>14</v>
      </c>
      <c r="B15" s="12"/>
      <c r="C15" s="12"/>
      <c r="D15" s="12"/>
      <c r="E15" s="12"/>
      <c r="F15" s="12"/>
      <c r="G15" s="12"/>
      <c r="H15" s="12"/>
      <c r="I15" s="12"/>
    </row>
    <row r="16" spans="1:12" x14ac:dyDescent="0.3">
      <c r="A16" s="12" t="s">
        <v>16</v>
      </c>
      <c r="B16" s="12"/>
      <c r="C16" s="12"/>
      <c r="D16" s="12"/>
      <c r="E16" s="12"/>
      <c r="F16" s="12"/>
      <c r="G16" s="12"/>
      <c r="H16" s="12"/>
      <c r="I16" s="12"/>
    </row>
    <row r="17" spans="1:15" x14ac:dyDescent="0.3">
      <c r="A17" s="12" t="s">
        <v>20</v>
      </c>
      <c r="B17" s="12"/>
      <c r="C17" s="12"/>
      <c r="D17" s="12"/>
      <c r="E17" s="12"/>
      <c r="F17" s="12"/>
      <c r="G17" s="12"/>
      <c r="H17" s="12"/>
      <c r="I17" s="12"/>
    </row>
    <row r="18" spans="1:15" x14ac:dyDescent="0.3">
      <c r="A18" s="12" t="s">
        <v>23</v>
      </c>
      <c r="B18" s="12"/>
      <c r="C18" s="12"/>
      <c r="D18" s="12"/>
      <c r="E18" s="12"/>
      <c r="F18" s="12"/>
      <c r="G18" s="12"/>
      <c r="H18" s="12"/>
      <c r="I18" s="12"/>
    </row>
    <row r="19" spans="1:15" x14ac:dyDescent="0.3">
      <c r="A19" s="12" t="s">
        <v>24</v>
      </c>
      <c r="B19" s="12"/>
      <c r="C19" s="12"/>
      <c r="D19" s="12"/>
      <c r="E19" s="12"/>
      <c r="F19" s="12"/>
      <c r="G19" s="12"/>
      <c r="H19" s="12"/>
      <c r="I19" s="12"/>
      <c r="O19" t="s">
        <v>15</v>
      </c>
    </row>
    <row r="23" spans="1:15" x14ac:dyDescent="0.3">
      <c r="A23" s="1"/>
      <c r="B23" s="1"/>
      <c r="C23" s="1"/>
      <c r="D23" s="1"/>
    </row>
    <row r="34" spans="1:6" x14ac:dyDescent="0.3">
      <c r="A34" s="1"/>
      <c r="B34" s="1"/>
      <c r="C34" s="1"/>
      <c r="D34" s="1"/>
      <c r="E34" s="1"/>
    </row>
    <row r="45" spans="1:6" x14ac:dyDescent="0.3">
      <c r="A45" s="1"/>
      <c r="B45" s="1"/>
      <c r="C45" s="1"/>
      <c r="D45" s="1"/>
      <c r="E45" s="1"/>
      <c r="F45" s="1"/>
    </row>
  </sheetData>
  <mergeCells count="7">
    <mergeCell ref="A19:I19"/>
    <mergeCell ref="A13:I13"/>
    <mergeCell ref="A14:I14"/>
    <mergeCell ref="A15:I15"/>
    <mergeCell ref="A16:I16"/>
    <mergeCell ref="A17:I17"/>
    <mergeCell ref="A18:I18"/>
  </mergeCells>
  <dataValidations count="1">
    <dataValidation type="list" allowBlank="1" showInputMessage="1" showErrorMessage="1" sqref="B9 K3" xr:uid="{FE05F460-08E3-4C37-B3EF-F10661D1AAD7}">
      <formula1>$D$2:$D$8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Ayon Chakraborty</dc:creator>
  <cp:lastModifiedBy>Ayon Chakraborty</cp:lastModifiedBy>
  <dcterms:created xsi:type="dcterms:W3CDTF">2026-08-06T10:55:41Z</dcterms:created>
  <dcterms:modified xsi:type="dcterms:W3CDTF">2026-08-10T13:30:26Z</dcterms:modified>
</cp:coreProperties>
</file>