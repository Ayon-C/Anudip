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onc\OneDrive\Desktop\"/>
    </mc:Choice>
  </mc:AlternateContent>
  <xr:revisionPtr revIDLastSave="0" documentId="13_ncr:1_{D425AF5A-668D-4484-9979-6A2F84510ACF}" xr6:coauthVersionLast="47" xr6:coauthVersionMax="47" xr10:uidLastSave="{00000000-0000-0000-0000-000000000000}"/>
  <bookViews>
    <workbookView xWindow="-108" yWindow="-108" windowWidth="23256" windowHeight="12456" xr2:uid="{30E95FD8-69BD-4719-8916-E4E0BB544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H3" i="1"/>
  <c r="H4" i="1"/>
  <c r="H5" i="1"/>
  <c r="H6" i="1"/>
  <c r="H7" i="1"/>
  <c r="H2" i="1"/>
  <c r="L2" i="1"/>
  <c r="L3" i="1"/>
  <c r="L4" i="1"/>
  <c r="L5" i="1"/>
  <c r="L6" i="1"/>
  <c r="L7" i="1"/>
  <c r="K3" i="1"/>
  <c r="K4" i="1"/>
  <c r="K5" i="1"/>
  <c r="K6" i="1"/>
  <c r="K7" i="1"/>
  <c r="K2" i="1"/>
  <c r="J3" i="1" a="1"/>
  <c r="J3" i="1" s="1"/>
  <c r="J4" i="1" a="1"/>
  <c r="J4" i="1" s="1"/>
  <c r="J5" i="1" a="1"/>
  <c r="J5" i="1" s="1"/>
  <c r="J6" i="1" a="1"/>
  <c r="J6" i="1" s="1"/>
  <c r="J7" i="1" a="1"/>
  <c r="J7" i="1" s="1"/>
  <c r="J2" i="1" a="1"/>
  <c r="J2" i="1" s="1"/>
  <c r="I3" i="1"/>
  <c r="I4" i="1"/>
  <c r="I5" i="1"/>
  <c r="I6" i="1"/>
  <c r="I7" i="1"/>
  <c r="I2" i="1"/>
  <c r="F3" i="1"/>
  <c r="F4" i="1"/>
  <c r="F5" i="1"/>
  <c r="F6" i="1"/>
  <c r="F7" i="1"/>
  <c r="F2" i="1"/>
  <c r="G3" i="1"/>
  <c r="G4" i="1"/>
  <c r="G5" i="1"/>
  <c r="G6" i="1"/>
  <c r="G7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<sst xmlns="http://schemas.openxmlformats.org/spreadsheetml/2006/main" count="34" uniqueCount="32">
  <si>
    <t>ProductID</t>
  </si>
  <si>
    <t>Product</t>
  </si>
  <si>
    <t>Sales</t>
  </si>
  <si>
    <t xml:space="preserve">Target </t>
  </si>
  <si>
    <t>Region</t>
  </si>
  <si>
    <t>Product A</t>
  </si>
  <si>
    <t>Product B</t>
  </si>
  <si>
    <t>Product C</t>
  </si>
  <si>
    <t>Product D</t>
  </si>
  <si>
    <t>Product F</t>
  </si>
  <si>
    <t>Product E</t>
  </si>
  <si>
    <t>North</t>
  </si>
  <si>
    <t>South</t>
  </si>
  <si>
    <t>East</t>
  </si>
  <si>
    <t>West</t>
  </si>
  <si>
    <t xml:space="preserve">1. Use the IF function to evaluate whether each product met its sales target. </t>
  </si>
  <si>
    <t xml:space="preserve">2. Use the IF function to determine if a product is eligible for a regional bonus. Products in the "North" region with sales over 200 are eligible. </t>
  </si>
  <si>
    <t xml:space="preserve">3. Use nested IF functions to assign a commission rate based on sales. Sales &gt;= 200 get a 10% commission, sales &gt;= 150 get a 7% commission, and others get a 5% commission. </t>
  </si>
  <si>
    <t>4. Use the IF function to calculate a bonus amount. If sales met or exceeded the target, the bonus is 10% of the sales; otherwise, it's 5%.</t>
  </si>
  <si>
    <t xml:space="preserve">5. Use the IF function to categorize sales performance as "Excellent" (&gt;=200), "Good" (&gt;=150), or "Needs Improvement" (&lt;150). </t>
  </si>
  <si>
    <t xml:space="preserve">6. Use the IF function to assign a price tier based on the sales value. "High" for sales &gt; 200, "Medium" for sales between 100 and 200, and "Low" for sales &lt; 100. </t>
  </si>
  <si>
    <t xml:space="preserve">7.  Use the IF function to calculate the year-end bonus. If sales &gt;= 150 and region is "North", the bonus is $500, otherwise, it's $300. </t>
  </si>
  <si>
    <t xml:space="preserve">8.  Use the IF function to mark high performers. A product is a high performer if its sales are in the top 25% of all sales. </t>
  </si>
  <si>
    <t>Product Eligiblity</t>
  </si>
  <si>
    <t>Commission Rate</t>
  </si>
  <si>
    <t>Bonus</t>
  </si>
  <si>
    <t>Sales Target Achivement</t>
  </si>
  <si>
    <t>Sales Category</t>
  </si>
  <si>
    <t>Price Tire</t>
  </si>
  <si>
    <t>Year-end Bonus</t>
  </si>
  <si>
    <t>Performers</t>
  </si>
  <si>
    <t>Questions from IF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</si>
</sst>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1" fillId="0" borderId="2" xfId="0" applyFont="1" applyFill="1" applyBorder="1"/>
    <xf numFmtId="0" fontId="3" fillId="0" borderId="0" xfId="0" applyFont="1"/>
    <xf numFmtId="0" fontId="2" fillId="0" borderId="0" xfId="0" applyFont="1"/>
    <xf numFmtId="0" fontId="2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1" fillId="0" borderId="3" xfId="0" applyFont="1" applyBorder="1"/>
    <xf numFmtId="0" fontId="1" fillId="0" borderId="4" xfId="0" applyFont="1" applyFill="1" applyBorder="1"/>
    <xf numFmtId="0" fontId="1" fillId="5" borderId="1" xfId="0" applyFont="1" applyFill="1" applyBorder="1"/>
    <xf numFmtId="0" fontId="1" fillId="0" borderId="4" xfId="0" applyFont="1" applyBorder="1"/>
    <xf numFmtId="0" fontId="1" fillId="4" borderId="1" xfId="0" applyFont="1" applyFill="1" applyBorder="1"/>
    <xf numFmtId="0" fontId="1" fillId="6" borderId="1" xfId="0" applyFont="1" applyFill="1" applyBorder="1"/>
    <xf numFmtId="0" fontId="1" fillId="3" borderId="1" xfId="0" applyFont="1" applyFill="1" applyBorder="1"/>
    <xf numFmtId="0" fontId="1" fillId="4" borderId="4" xfId="0" applyFont="1" applyFill="1" applyBorder="1"/>
    <xf numFmtId="0" fontId="1" fillId="0" borderId="6" xfId="0" applyFont="1" applyBorder="1"/>
    <xf numFmtId="0" fontId="1" fillId="5" borderId="6" xfId="0" applyFont="1" applyFill="1" applyBorder="1"/>
    <xf numFmtId="0" fontId="1" fillId="0" borderId="7" xfId="0" applyFont="1" applyBorder="1"/>
    <xf numFmtId="0" fontId="1" fillId="2" borderId="3" xfId="0" applyFont="1" applyFill="1" applyBorder="1"/>
    <xf numFmtId="0" fontId="1" fillId="2" borderId="5" xfId="0" applyFont="1" applyFill="1" applyBorder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>
          <fgColor indexed="64"/>
          <bgColor theme="9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871F23-0162-4DB4-8B7C-BAC58DF287DF}" name="Table3" displayName="Table3" ref="A1:M7" totalsRowShown="0" headerRowDxfId="23" dataDxfId="11" tableBorderDxfId="24">
  <autoFilter ref="A1:M7" xr:uid="{78871F23-0162-4DB4-8B7C-BAC58DF287DF}"/>
  <tableColumns count="13">
    <tableColumn id="1" xr3:uid="{FB9588BA-F214-469B-A3A9-C92504E1D6A3}" name="ProductID" dataDxfId="9"/>
    <tableColumn id="2" xr3:uid="{78E45518-B960-4545-B2D4-9C7F28557071}" name="Product" dataDxfId="10"/>
    <tableColumn id="3" xr3:uid="{018541C4-59DD-4D3B-B516-68C967EC1371}" name="Sales" dataDxfId="22"/>
    <tableColumn id="4" xr3:uid="{0D0B3C0F-3EEE-456A-A017-B75A679CF7C7}" name="Target " dataDxfId="21"/>
    <tableColumn id="5" xr3:uid="{D22CA0CA-83F8-4592-9BFC-4153FF96EB54}" name="Region" dataDxfId="20"/>
    <tableColumn id="6" xr3:uid="{8BBDE7E5-AC4E-4B1B-BED6-F4EB2E906906}" name="Sales Target Achivement" dataDxfId="19">
      <calculatedColumnFormula>IF(C2&gt;=D2,"Achive Target","Not Achive")</calculatedColumnFormula>
    </tableColumn>
    <tableColumn id="7" xr3:uid="{0788C1F2-1AAF-4BFB-9E24-9607F6E82883}" name="Product Eligiblity" dataDxfId="18">
      <calculatedColumnFormula>IF(AND(E2="North",C2&gt;200),"Eligible","Not Eligible")</calculatedColumnFormula>
    </tableColumn>
    <tableColumn id="8" xr3:uid="{9F1BB5DF-6822-4E7E-8D45-28A3B5D7C4AC}" name="Commission Rate" dataDxfId="17">
      <calculatedColumnFormula>IF(C2&gt;=200,10%,IF(C2&gt;=150,7%,5%))</calculatedColumnFormula>
    </tableColumn>
    <tableColumn id="9" xr3:uid="{26C79DE8-DED7-4996-92BB-C01E290AFEDC}" name="Bonus" dataDxfId="16">
      <calculatedColumnFormula>IF(C2&gt;=D2,C2*10%,C2*5%)</calculatedColumnFormula>
    </tableColumn>
    <tableColumn id="10" xr3:uid="{FD23A883-53E0-421F-8DDA-5BEC040C2E4E}" name="Sales Category" dataDxfId="15">
      <calculatedColumnFormula array="1">_xlfn.IFS(C2&gt;=200,"Excellent",C2&gt;=150,"Good",C2&lt;150,"Needs Improvement")</calculatedColumnFormula>
    </tableColumn>
    <tableColumn id="11" xr3:uid="{B9B5CEE8-11CA-475F-ACDA-CE8087522A51}" name="Price Tire" dataDxfId="14">
      <calculatedColumnFormula>IF(C2&gt;=200,"High",IF(AND(C2&gt;100,C2&lt;200),"Medium",IF(C2&lt;100,"Low")))</calculatedColumnFormula>
    </tableColumn>
    <tableColumn id="12" xr3:uid="{6CD232E5-0451-4BFD-A9AF-578FE50FBB00}" name="Year-end Bonus" dataDxfId="13">
      <calculatedColumnFormula>IF(AND(C2&gt;=150,E2="North"),500,300)</calculatedColumnFormula>
    </tableColumn>
    <tableColumn id="13" xr3:uid="{72EE9E34-54E5-484D-AEE5-381D22E31D1A}" name="Performers" dataDxfId="12">
      <calculatedColumnFormula>IF(C2&gt;=_xlfn.PERCENTILE.INC($C$2:$C$7,0.75),"High Performer","Normal Performer")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256A8-B3C6-4C58-B43D-F7D3CDD955D5}">
  <dimension ref="A1:Q21"/>
  <sheetViews>
    <sheetView tabSelected="1" topLeftCell="B1" zoomScale="103" zoomScaleNormal="100" workbookViewId="0">
      <selection activeCell="G10" sqref="G10"/>
    </sheetView>
  </sheetViews>
  <sheetFormatPr defaultRowHeight="14.4" x14ac:dyDescent="0.3"/>
  <cols>
    <col min="1" max="1" width="14.5546875" bestFit="1" customWidth="1"/>
    <col min="2" max="2" width="12.33203125" bestFit="1" customWidth="1"/>
    <col min="3" max="3" width="9.44140625" bestFit="1" customWidth="1"/>
    <col min="4" max="5" width="11.33203125" bestFit="1" customWidth="1"/>
    <col min="6" max="6" width="31.109375" bestFit="1" customWidth="1"/>
    <col min="7" max="7" width="22.44140625" bestFit="1" customWidth="1"/>
    <col min="8" max="8" width="22.77734375" bestFit="1" customWidth="1"/>
    <col min="9" max="9" width="9.6640625" customWidth="1"/>
    <col min="10" max="10" width="23.6640625" bestFit="1" customWidth="1"/>
    <col min="11" max="11" width="14.109375" bestFit="1" customWidth="1"/>
    <col min="12" max="12" width="21.109375" bestFit="1" customWidth="1"/>
    <col min="13" max="13" width="21.21875" bestFit="1" customWidth="1"/>
  </cols>
  <sheetData>
    <row r="1" spans="1:17" ht="18" x14ac:dyDescent="0.3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</v>
      </c>
      <c r="G1" s="2" t="s">
        <v>23</v>
      </c>
      <c r="H1" s="2" t="s">
        <v>24</v>
      </c>
      <c r="I1" s="2" t="s">
        <v>25</v>
      </c>
      <c r="J1" s="2" t="s">
        <v>27</v>
      </c>
      <c r="K1" s="2" t="s">
        <v>28</v>
      </c>
      <c r="L1" s="3" t="s">
        <v>29</v>
      </c>
      <c r="M1" s="9" t="s">
        <v>30</v>
      </c>
    </row>
    <row r="2" spans="1:17" ht="18" x14ac:dyDescent="0.35">
      <c r="A2" s="19">
        <v>101</v>
      </c>
      <c r="B2" s="1" t="s">
        <v>5</v>
      </c>
      <c r="C2" s="1">
        <v>120</v>
      </c>
      <c r="D2" s="1">
        <v>150</v>
      </c>
      <c r="E2" s="1" t="s">
        <v>11</v>
      </c>
      <c r="F2" s="1" t="str">
        <f>IF(C2&gt;=D2,"Achive Target","Not Achive")</f>
        <v>Not Achive</v>
      </c>
      <c r="G2" s="1" t="str">
        <f>IF(AND(E2="North",C2&gt;200),"Eligible","Not Eligible")</f>
        <v>Not Eligible</v>
      </c>
      <c r="H2" s="1">
        <f>IF(C2&gt;=200,10%,IF(C2&gt;=150,7%,5%))</f>
        <v>0.05</v>
      </c>
      <c r="I2" s="1">
        <f>IF(C2&gt;=D2,C2*10%,C2*5%)</f>
        <v>6</v>
      </c>
      <c r="J2" s="1" t="str" cm="1">
        <f t="array" ref="J2">_xlfn.IFS(C2&gt;=200,"Excellent",C2&gt;=150,"Good",C2&lt;150,"Needs Improvement")</f>
        <v>Needs Improvement</v>
      </c>
      <c r="K2" s="10" t="str">
        <f>IF(C2&gt;=200,"High",IF(AND(C2&gt;100,C2&lt;200),"Medium",IF(C2&lt;100,"Low")))</f>
        <v>Medium</v>
      </c>
      <c r="L2" s="1">
        <f>IF(AND(C2&gt;=150,E2="North"),500,300)</f>
        <v>300</v>
      </c>
      <c r="M2" s="11" t="str">
        <f>IF(C2&gt;=_xlfn.PERCENTILE.INC($C$2:$C$7,0.75),"High Performer","Normal Performer")</f>
        <v>Normal Performer</v>
      </c>
    </row>
    <row r="3" spans="1:17" ht="18" x14ac:dyDescent="0.35">
      <c r="A3" s="19">
        <v>102</v>
      </c>
      <c r="B3" s="1" t="s">
        <v>6</v>
      </c>
      <c r="C3" s="1">
        <v>150</v>
      </c>
      <c r="D3" s="1">
        <v>140</v>
      </c>
      <c r="E3" s="1" t="s">
        <v>12</v>
      </c>
      <c r="F3" s="12" t="str">
        <f t="shared" ref="F3:F7" si="0">IF(C3&gt;=D3,"Achive Target","Not Achive")</f>
        <v>Achive Target</v>
      </c>
      <c r="G3" s="1" t="str">
        <f t="shared" ref="G3:G7" si="1">IF(AND(E3="North",C3&gt;200),"Eligible","Not Eligible")</f>
        <v>Not Eligible</v>
      </c>
      <c r="H3" s="1">
        <f t="shared" ref="H3:H7" si="2">IF(C3&gt;=200,10%,IF(C3&gt;=150,7%,5%))</f>
        <v>7.0000000000000007E-2</v>
      </c>
      <c r="I3" s="1">
        <f t="shared" ref="I3:I7" si="3">IF(C3&gt;=D3,C3*10%,C3*5%)</f>
        <v>15</v>
      </c>
      <c r="J3" s="13" t="str" cm="1">
        <f t="array" ref="J3">_xlfn.IFS(C3&gt;=200,"Excellent",C3&gt;=150,"Good",C3&lt;150,"Needs Improvement")</f>
        <v>Good</v>
      </c>
      <c r="K3" s="10" t="str">
        <f t="shared" ref="K3:K7" si="4">IF(C3&gt;=200,"High",IF(AND(C3&gt;100,C3&lt;200),"Medium",IF(C3&lt;100,"Low")))</f>
        <v>Medium</v>
      </c>
      <c r="L3" s="1">
        <f t="shared" ref="L3:L7" si="5">IF(AND(C3&gt;=150,E3="North"),500,300)</f>
        <v>300</v>
      </c>
      <c r="M3" s="11" t="str">
        <f t="shared" ref="M3:M7" si="6">IF(C3&gt;=_xlfn.PERCENTILE.INC($C$2:$C$7,0.75),"High Performer","Normal Performer")</f>
        <v>Normal Performer</v>
      </c>
    </row>
    <row r="4" spans="1:17" ht="18" x14ac:dyDescent="0.35">
      <c r="A4" s="19">
        <v>103</v>
      </c>
      <c r="B4" s="1" t="s">
        <v>7</v>
      </c>
      <c r="C4" s="1">
        <v>200</v>
      </c>
      <c r="D4" s="1">
        <v>200</v>
      </c>
      <c r="E4" s="1" t="s">
        <v>13</v>
      </c>
      <c r="F4" s="12" t="str">
        <f t="shared" si="0"/>
        <v>Achive Target</v>
      </c>
      <c r="G4" s="1" t="str">
        <f t="shared" si="1"/>
        <v>Not Eligible</v>
      </c>
      <c r="H4" s="14">
        <f t="shared" si="2"/>
        <v>0.1</v>
      </c>
      <c r="I4" s="1">
        <f t="shared" si="3"/>
        <v>20</v>
      </c>
      <c r="J4" s="10" t="str" cm="1">
        <f t="array" ref="J4">_xlfn.IFS(C4&gt;=200,"Excellent",C4&gt;=150,"Good",C4&lt;150,"Needs Improvement")</f>
        <v>Excellent</v>
      </c>
      <c r="K4" s="12" t="str">
        <f t="shared" si="4"/>
        <v>High</v>
      </c>
      <c r="L4" s="1">
        <f t="shared" si="5"/>
        <v>300</v>
      </c>
      <c r="M4" s="15" t="str">
        <f t="shared" si="6"/>
        <v>High Performer</v>
      </c>
    </row>
    <row r="5" spans="1:17" ht="18" x14ac:dyDescent="0.35">
      <c r="A5" s="19">
        <v>104</v>
      </c>
      <c r="B5" s="1" t="s">
        <v>8</v>
      </c>
      <c r="C5" s="1">
        <v>90</v>
      </c>
      <c r="D5" s="1">
        <v>100</v>
      </c>
      <c r="E5" s="1" t="s">
        <v>14</v>
      </c>
      <c r="F5" s="1" t="str">
        <f t="shared" si="0"/>
        <v>Not Achive</v>
      </c>
      <c r="G5" s="1" t="str">
        <f t="shared" si="1"/>
        <v>Not Eligible</v>
      </c>
      <c r="H5" s="1">
        <f t="shared" si="2"/>
        <v>0.05</v>
      </c>
      <c r="I5" s="1">
        <f t="shared" si="3"/>
        <v>4.5</v>
      </c>
      <c r="J5" s="1" t="str" cm="1">
        <f t="array" ref="J5">_xlfn.IFS(C5&gt;=200,"Excellent",C5&gt;=150,"Good",C5&lt;150,"Needs Improvement")</f>
        <v>Needs Improvement</v>
      </c>
      <c r="K5" s="1" t="str">
        <f t="shared" si="4"/>
        <v>Low</v>
      </c>
      <c r="L5" s="1">
        <f t="shared" si="5"/>
        <v>300</v>
      </c>
      <c r="M5" s="11" t="str">
        <f t="shared" si="6"/>
        <v>Normal Performer</v>
      </c>
    </row>
    <row r="6" spans="1:17" ht="18" x14ac:dyDescent="0.35">
      <c r="A6" s="19">
        <v>105</v>
      </c>
      <c r="B6" s="1" t="s">
        <v>10</v>
      </c>
      <c r="C6" s="1">
        <v>220</v>
      </c>
      <c r="D6" s="1">
        <v>210</v>
      </c>
      <c r="E6" s="1" t="s">
        <v>11</v>
      </c>
      <c r="F6" s="12" t="str">
        <f t="shared" si="0"/>
        <v>Achive Target</v>
      </c>
      <c r="G6" s="10" t="str">
        <f t="shared" si="1"/>
        <v>Eligible</v>
      </c>
      <c r="H6" s="1">
        <f t="shared" si="2"/>
        <v>0.1</v>
      </c>
      <c r="I6" s="1">
        <f t="shared" si="3"/>
        <v>22</v>
      </c>
      <c r="J6" s="10" t="str" cm="1">
        <f t="array" ref="J6">_xlfn.IFS(C6&gt;=200,"Excellent",C6&gt;=150,"Good",C6&lt;150,"Needs Improvement")</f>
        <v>Excellent</v>
      </c>
      <c r="K6" s="12" t="str">
        <f t="shared" si="4"/>
        <v>High</v>
      </c>
      <c r="L6" s="1">
        <f t="shared" si="5"/>
        <v>500</v>
      </c>
      <c r="M6" s="15" t="str">
        <f t="shared" si="6"/>
        <v>High Performer</v>
      </c>
    </row>
    <row r="7" spans="1:17" ht="18" x14ac:dyDescent="0.35">
      <c r="A7" s="20">
        <v>106</v>
      </c>
      <c r="B7" s="16" t="s">
        <v>9</v>
      </c>
      <c r="C7" s="16">
        <v>130</v>
      </c>
      <c r="D7" s="16">
        <v>160</v>
      </c>
      <c r="E7" s="16" t="s">
        <v>12</v>
      </c>
      <c r="F7" s="16" t="str">
        <f t="shared" si="0"/>
        <v>Not Achive</v>
      </c>
      <c r="G7" s="16" t="str">
        <f t="shared" si="1"/>
        <v>Not Eligible</v>
      </c>
      <c r="H7" s="16">
        <f t="shared" si="2"/>
        <v>0.05</v>
      </c>
      <c r="I7" s="16">
        <f t="shared" si="3"/>
        <v>6.5</v>
      </c>
      <c r="J7" s="16" t="str" cm="1">
        <f t="array" ref="J7">_xlfn.IFS(C7&gt;=200,"Excellent",C7&gt;=150,"Good",C7&lt;150,"Needs Improvement")</f>
        <v>Needs Improvement</v>
      </c>
      <c r="K7" s="17" t="str">
        <f t="shared" si="4"/>
        <v>Medium</v>
      </c>
      <c r="L7" s="16">
        <f t="shared" si="5"/>
        <v>300</v>
      </c>
      <c r="M7" s="18" t="str">
        <f t="shared" si="6"/>
        <v>Normal Performer</v>
      </c>
    </row>
    <row r="13" spans="1:17" ht="18" x14ac:dyDescent="0.35">
      <c r="F13" s="7" t="s">
        <v>31</v>
      </c>
      <c r="G13" s="7"/>
      <c r="H13" s="7"/>
      <c r="I13" s="7"/>
      <c r="J13" s="7"/>
    </row>
    <row r="14" spans="1:17" ht="18" x14ac:dyDescent="0.35">
      <c r="A14" s="6" t="s">
        <v>15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4"/>
      <c r="P14" s="4"/>
      <c r="Q14" s="4"/>
    </row>
    <row r="15" spans="1:17" ht="18" x14ac:dyDescent="0.35">
      <c r="A15" s="6" t="s">
        <v>16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4"/>
      <c r="P15" s="4"/>
      <c r="Q15" s="4"/>
    </row>
    <row r="16" spans="1:17" ht="18" x14ac:dyDescent="0.35">
      <c r="A16" s="6" t="s">
        <v>17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5"/>
      <c r="P16" s="5"/>
      <c r="Q16" s="5"/>
    </row>
    <row r="17" spans="1:17" ht="18" x14ac:dyDescent="0.35">
      <c r="A17" s="6" t="s">
        <v>18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5"/>
      <c r="P17" s="5"/>
      <c r="Q17" s="4"/>
    </row>
    <row r="18" spans="1:17" ht="18" x14ac:dyDescent="0.35">
      <c r="A18" s="6" t="s">
        <v>19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5"/>
      <c r="P18" s="5"/>
      <c r="Q18" s="4"/>
    </row>
    <row r="19" spans="1:17" ht="18" x14ac:dyDescent="0.35">
      <c r="A19" s="6" t="s">
        <v>20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5"/>
      <c r="P19" s="5"/>
      <c r="Q19" s="4"/>
    </row>
    <row r="20" spans="1:17" ht="18" x14ac:dyDescent="0.35">
      <c r="A20" s="6" t="s">
        <v>21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5"/>
      <c r="P20" s="5"/>
      <c r="Q20" s="4"/>
    </row>
    <row r="21" spans="1:17" ht="18" x14ac:dyDescent="0.35">
      <c r="A21" s="6" t="s">
        <v>22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5"/>
      <c r="P21" s="5"/>
      <c r="Q21" s="4"/>
    </row>
  </sheetData>
  <mergeCells count="9">
    <mergeCell ref="A20:N20"/>
    <mergeCell ref="A16:N16"/>
    <mergeCell ref="A14:N14"/>
    <mergeCell ref="A19:N19"/>
    <mergeCell ref="A21:N21"/>
    <mergeCell ref="F13:J13"/>
    <mergeCell ref="A15:N15"/>
    <mergeCell ref="A17:N17"/>
    <mergeCell ref="A18:N18"/>
  </mergeCells>
  <conditionalFormatting sqref="F10">
    <cfRule type="colorScale" priority="9">
      <colorScale>
        <cfvo type="min"/>
        <cfvo type="max"/>
        <color rgb="FFFFEF9C"/>
        <color rgb="FF63BE7B"/>
      </colorScale>
    </cfRule>
  </conditionalFormatting>
  <conditionalFormatting sqref="A2:M7">
    <cfRule type="colorScale" priority="8">
      <colorScale>
        <cfvo type="min"/>
        <cfvo type="max"/>
        <color rgb="FFFF7128"/>
        <color rgb="FFFFEF9C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2:H7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2:M7">
    <cfRule type="containsText" dxfId="4" priority="5" operator="containsText" text="Normal Performer">
      <formula>NOT(ISERROR(SEARCH("Normal Performer",M2)))</formula>
    </cfRule>
  </conditionalFormatting>
  <conditionalFormatting sqref="I2:I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:J7">
    <cfRule type="containsText" dxfId="3" priority="3" operator="containsText" text="Needs Improvement">
      <formula>NOT(ISERROR(SEARCH("Needs Improvement",J2)))</formula>
    </cfRule>
  </conditionalFormatting>
  <conditionalFormatting sqref="L2:L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{F6DF3E24-0347-483E-A8AA-84E8A5C5AB23}</x14:id>
        </ext>
      </extLst>
    </cfRule>
  </conditionalFormatting>
  <conditionalFormatting sqref="F2:F7">
    <cfRule type="cellIs" dxfId="0" priority="1" operator="equal">
      <formula>"Not Achive"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DF3E24-0347-483E-A8AA-84E8A5C5AB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L2:L7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Ayon Chakraborty</dc:creator>
  <cp:lastModifiedBy>Ayon Chakraborty</cp:lastModifiedBy>
  <dcterms:created xsi:type="dcterms:W3CDTF">2026-08-03T09:37:15Z</dcterms:created>
  <dcterms:modified xsi:type="dcterms:W3CDTF">2026-08-03T22:10:29Z</dcterms:modified>
</cp:coreProperties>
</file>