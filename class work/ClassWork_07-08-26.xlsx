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1fd1d8faa56149/Desktop/"/>
    </mc:Choice>
  </mc:AlternateContent>
  <xr:revisionPtr revIDLastSave="30" documentId="8_{F267648D-0A9A-4E45-86D3-0BA28D805B47}" xr6:coauthVersionLast="47" xr6:coauthVersionMax="47" xr10:uidLastSave="{E5790494-8433-44E5-ABCE-598F1B109C29}"/>
  <bookViews>
    <workbookView xWindow="-108" yWindow="-108" windowWidth="23256" windowHeight="12456" activeTab="2" xr2:uid="{75C06A87-24B9-4BEE-9E92-6D0411DD8EDE}"/>
  </bookViews>
  <sheets>
    <sheet name="Employee" sheetId="1" r:id="rId1"/>
    <sheet name="Students" sheetId="2" r:id="rId2"/>
    <sheet name="Course" sheetId="3" r:id="rId3"/>
    <sheet name="Produc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4" l="1"/>
  <c r="F8" i="4"/>
  <c r="B8" i="4"/>
  <c r="B14" i="3"/>
  <c r="E10" i="3"/>
  <c r="B10" i="3"/>
  <c r="F14" i="2"/>
  <c r="B14" i="2"/>
  <c r="F10" i="2"/>
  <c r="B10" i="2"/>
  <c r="F13" i="1"/>
  <c r="B21" i="1"/>
  <c r="B17" i="1"/>
  <c r="B13" i="1"/>
</calcChain>
</file>

<file path=xl/sharedStrings.xml><?xml version="1.0" encoding="utf-8"?>
<sst xmlns="http://schemas.openxmlformats.org/spreadsheetml/2006/main" count="147" uniqueCount="96">
  <si>
    <t>Emp ID</t>
  </si>
  <si>
    <t>Name</t>
  </si>
  <si>
    <t>Department</t>
  </si>
  <si>
    <t>Salary</t>
  </si>
  <si>
    <t>City</t>
  </si>
  <si>
    <t>E101</t>
  </si>
  <si>
    <t>E102</t>
  </si>
  <si>
    <t>E103</t>
  </si>
  <si>
    <t>E104</t>
  </si>
  <si>
    <t>E105</t>
  </si>
  <si>
    <t>E106</t>
  </si>
  <si>
    <t>E107</t>
  </si>
  <si>
    <t>E108</t>
  </si>
  <si>
    <t>Amit</t>
  </si>
  <si>
    <t>Neha</t>
  </si>
  <si>
    <t>Rahul</t>
  </si>
  <si>
    <t>Priya</t>
  </si>
  <si>
    <t>Arjun</t>
  </si>
  <si>
    <t>Riya</t>
  </si>
  <si>
    <t>Karan</t>
  </si>
  <si>
    <t>Sneha</t>
  </si>
  <si>
    <t>HR</t>
  </si>
  <si>
    <t>IT</t>
  </si>
  <si>
    <t>Finance</t>
  </si>
  <si>
    <t>Marketing</t>
  </si>
  <si>
    <t>Dilhi</t>
  </si>
  <si>
    <t>Mumbai</t>
  </si>
  <si>
    <t>kplkata</t>
  </si>
  <si>
    <t>Bangalore</t>
  </si>
  <si>
    <t>Pune</t>
  </si>
  <si>
    <t>Delhi</t>
  </si>
  <si>
    <t>Chennai</t>
  </si>
  <si>
    <t>1. Find the Name of employee with Emp ID E104 using Vlookup</t>
  </si>
  <si>
    <t>2. Find the Department of employee E103</t>
  </si>
  <si>
    <t>3. Find the Salary of employee E108.</t>
  </si>
  <si>
    <t>4. Find the City of Employee E105.</t>
  </si>
  <si>
    <t>5. if Emp ID is entered in any cell, retrive the Salary autometacally.</t>
  </si>
  <si>
    <t>6. If Emp Id is entered in any cell, retrive the Department.</t>
  </si>
  <si>
    <t>Student ID</t>
  </si>
  <si>
    <t>Math</t>
  </si>
  <si>
    <t>Science</t>
  </si>
  <si>
    <t>English</t>
  </si>
  <si>
    <t>S101</t>
  </si>
  <si>
    <t>S102</t>
  </si>
  <si>
    <t>S103</t>
  </si>
  <si>
    <t>S104</t>
  </si>
  <si>
    <t>S105</t>
  </si>
  <si>
    <t>Asha</t>
  </si>
  <si>
    <t>Ravi</t>
  </si>
  <si>
    <t>Meena</t>
  </si>
  <si>
    <t>Kiran</t>
  </si>
  <si>
    <t>ID</t>
  </si>
  <si>
    <t>Course</t>
  </si>
  <si>
    <t>Fees</t>
  </si>
  <si>
    <t>C101</t>
  </si>
  <si>
    <t>C102</t>
  </si>
  <si>
    <t>C103</t>
  </si>
  <si>
    <t>C104</t>
  </si>
  <si>
    <t>C105</t>
  </si>
  <si>
    <t>Rohan</t>
  </si>
  <si>
    <t>Ananya</t>
  </si>
  <si>
    <t>Vikram</t>
  </si>
  <si>
    <t>Aman</t>
  </si>
  <si>
    <t>Tableau</t>
  </si>
  <si>
    <t>Python</t>
  </si>
  <si>
    <t>SQL</t>
  </si>
  <si>
    <t>Power BI</t>
  </si>
  <si>
    <t>Excel</t>
  </si>
  <si>
    <t>Product ID</t>
  </si>
  <si>
    <t>Product Name</t>
  </si>
  <si>
    <t>Price</t>
  </si>
  <si>
    <t>Stock</t>
  </si>
  <si>
    <t>P101</t>
  </si>
  <si>
    <t>P102</t>
  </si>
  <si>
    <t>P103</t>
  </si>
  <si>
    <t>P104</t>
  </si>
  <si>
    <t>P105</t>
  </si>
  <si>
    <t>Laptop</t>
  </si>
  <si>
    <t>Mouse</t>
  </si>
  <si>
    <t>Keyboard</t>
  </si>
  <si>
    <t>monitor</t>
  </si>
  <si>
    <t>Printer</t>
  </si>
  <si>
    <t>1. Find Maths marks of S103</t>
  </si>
  <si>
    <t>2. Find Science marks of S102</t>
  </si>
  <si>
    <t>3. Find English marks of S105</t>
  </si>
  <si>
    <t>4. If Student ID is entered in any cell, return the Name.</t>
  </si>
  <si>
    <t>5. Petrive Science marks dynamically using sStudent Id in any cell.</t>
  </si>
  <si>
    <t>1. Retrieive Course name for C103</t>
  </si>
  <si>
    <t>2. Retrieive Fees for C104.</t>
  </si>
  <si>
    <t>3. If Course ID entered in any cell, display Name.</t>
  </si>
  <si>
    <t>4. If Product ID entered in any cell, return the price.</t>
  </si>
  <si>
    <t>5. If Product ID entered in any cell, return the Stock.</t>
  </si>
  <si>
    <t>1. Find the price of Product P103 using HLOOKUP.</t>
  </si>
  <si>
    <t>2. Find the Stock of P104.</t>
  </si>
  <si>
    <t>3. Retrieve ProductName of P101.</t>
  </si>
  <si>
    <t>4. If Course ID entered in any cell, display Fees.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</si>
</sst>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B3D12-52E6-40FD-8DCF-97A3BEA3CEF7}">
  <dimension ref="A1:T21"/>
  <sheetViews>
    <sheetView workbookViewId="0">
      <selection activeCell="N13" sqref="N13"/>
    </sheetView>
  </sheetViews>
  <sheetFormatPr defaultRowHeight="14.4" x14ac:dyDescent="0.3"/>
  <cols>
    <col min="2" max="2" width="10.77734375" bestFit="1" customWidth="1"/>
    <col min="3" max="3" width="11.109375" bestFit="1" customWidth="1"/>
    <col min="4" max="4" width="6.109375" bestFit="1" customWidth="1"/>
    <col min="5" max="5" width="9.218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0" x14ac:dyDescent="0.3">
      <c r="A2" s="2" t="s">
        <v>5</v>
      </c>
      <c r="B2" s="2" t="s">
        <v>13</v>
      </c>
      <c r="C2" s="2" t="s">
        <v>21</v>
      </c>
      <c r="D2" s="2">
        <v>35000</v>
      </c>
      <c r="E2" s="2" t="s">
        <v>25</v>
      </c>
      <c r="N2" s="3" t="s">
        <v>32</v>
      </c>
      <c r="O2" s="3"/>
      <c r="P2" s="3"/>
      <c r="Q2" s="3"/>
      <c r="R2" s="3"/>
      <c r="S2" s="3"/>
      <c r="T2" s="3"/>
    </row>
    <row r="3" spans="1:20" x14ac:dyDescent="0.3">
      <c r="A3" s="2" t="s">
        <v>6</v>
      </c>
      <c r="B3" s="2" t="s">
        <v>14</v>
      </c>
      <c r="C3" s="2" t="s">
        <v>22</v>
      </c>
      <c r="D3" s="2">
        <v>50000</v>
      </c>
      <c r="E3" s="2" t="s">
        <v>26</v>
      </c>
      <c r="N3" s="3" t="s">
        <v>33</v>
      </c>
      <c r="O3" s="3"/>
      <c r="P3" s="3"/>
      <c r="Q3" s="3"/>
      <c r="R3" s="3"/>
      <c r="S3" s="3"/>
      <c r="T3" s="3"/>
    </row>
    <row r="4" spans="1:20" x14ac:dyDescent="0.3">
      <c r="A4" s="2" t="s">
        <v>7</v>
      </c>
      <c r="B4" s="2" t="s">
        <v>15</v>
      </c>
      <c r="C4" s="2" t="s">
        <v>23</v>
      </c>
      <c r="D4" s="2">
        <v>45000</v>
      </c>
      <c r="E4" s="2" t="s">
        <v>27</v>
      </c>
      <c r="N4" s="3" t="s">
        <v>34</v>
      </c>
      <c r="O4" s="3"/>
      <c r="P4" s="3"/>
      <c r="Q4" s="3"/>
      <c r="R4" s="3"/>
      <c r="S4" s="3"/>
      <c r="T4" s="3"/>
    </row>
    <row r="5" spans="1:20" x14ac:dyDescent="0.3">
      <c r="A5" s="2" t="s">
        <v>8</v>
      </c>
      <c r="B5" s="2" t="s">
        <v>16</v>
      </c>
      <c r="C5" s="2" t="s">
        <v>22</v>
      </c>
      <c r="D5" s="2">
        <v>52000</v>
      </c>
      <c r="E5" s="2" t="s">
        <v>28</v>
      </c>
      <c r="N5" s="3" t="s">
        <v>35</v>
      </c>
      <c r="O5" s="3"/>
      <c r="P5" s="3"/>
      <c r="Q5" s="3"/>
      <c r="R5" s="3"/>
      <c r="S5" s="3"/>
      <c r="T5" s="3"/>
    </row>
    <row r="6" spans="1:20" x14ac:dyDescent="0.3">
      <c r="A6" s="2" t="s">
        <v>9</v>
      </c>
      <c r="B6" s="2" t="s">
        <v>17</v>
      </c>
      <c r="C6" s="2" t="s">
        <v>24</v>
      </c>
      <c r="D6" s="2">
        <v>40000</v>
      </c>
      <c r="E6" s="2" t="s">
        <v>29</v>
      </c>
      <c r="N6" s="3" t="s">
        <v>36</v>
      </c>
      <c r="O6" s="3"/>
      <c r="P6" s="3"/>
      <c r="Q6" s="3"/>
      <c r="R6" s="3"/>
      <c r="S6" s="3"/>
      <c r="T6" s="3"/>
    </row>
    <row r="7" spans="1:20" x14ac:dyDescent="0.3">
      <c r="A7" s="2" t="s">
        <v>10</v>
      </c>
      <c r="B7" s="2" t="s">
        <v>18</v>
      </c>
      <c r="C7" s="2" t="s">
        <v>21</v>
      </c>
      <c r="D7" s="2">
        <v>36000</v>
      </c>
      <c r="E7" s="2" t="s">
        <v>30</v>
      </c>
      <c r="N7" s="3" t="s">
        <v>37</v>
      </c>
      <c r="O7" s="3"/>
      <c r="P7" s="3"/>
      <c r="Q7" s="3"/>
      <c r="R7" s="3"/>
      <c r="S7" s="3"/>
      <c r="T7" s="3"/>
    </row>
    <row r="8" spans="1:20" x14ac:dyDescent="0.3">
      <c r="A8" s="2" t="s">
        <v>11</v>
      </c>
      <c r="B8" s="2" t="s">
        <v>19</v>
      </c>
      <c r="C8" s="2" t="s">
        <v>23</v>
      </c>
      <c r="D8" s="2">
        <v>47000</v>
      </c>
      <c r="E8" s="2" t="s">
        <v>26</v>
      </c>
    </row>
    <row r="9" spans="1:20" x14ac:dyDescent="0.3">
      <c r="A9" s="2" t="s">
        <v>12</v>
      </c>
      <c r="B9" s="2" t="s">
        <v>20</v>
      </c>
      <c r="C9" s="2" t="s">
        <v>24</v>
      </c>
      <c r="D9" s="2">
        <v>42000</v>
      </c>
      <c r="E9" s="2" t="s">
        <v>31</v>
      </c>
    </row>
    <row r="11" spans="1:20" x14ac:dyDescent="0.3">
      <c r="A11">
        <v>1</v>
      </c>
      <c r="E11">
        <v>4</v>
      </c>
    </row>
    <row r="12" spans="1:20" x14ac:dyDescent="0.3">
      <c r="A12" s="1" t="s">
        <v>0</v>
      </c>
      <c r="B12" s="1" t="s">
        <v>1</v>
      </c>
      <c r="E12" s="1" t="s">
        <v>0</v>
      </c>
      <c r="F12" s="1" t="s">
        <v>4</v>
      </c>
    </row>
    <row r="13" spans="1:20" x14ac:dyDescent="0.3">
      <c r="A13" s="2" t="s">
        <v>8</v>
      </c>
      <c r="B13" s="2" t="str">
        <f>VLOOKUP(A13,A1:E9,2,0)</f>
        <v>Priya</v>
      </c>
      <c r="E13" s="2" t="s">
        <v>9</v>
      </c>
      <c r="F13" s="2" t="str">
        <f>VLOOKUP(E13,A1:E9,5,0)</f>
        <v>Pune</v>
      </c>
    </row>
    <row r="15" spans="1:20" x14ac:dyDescent="0.3">
      <c r="A15">
        <v>2</v>
      </c>
      <c r="B15">
        <v>6</v>
      </c>
    </row>
    <row r="16" spans="1:20" x14ac:dyDescent="0.3">
      <c r="A16" s="1" t="s">
        <v>0</v>
      </c>
      <c r="B16" s="1" t="s">
        <v>2</v>
      </c>
    </row>
    <row r="17" spans="1:2" x14ac:dyDescent="0.3">
      <c r="A17" s="2" t="s">
        <v>7</v>
      </c>
      <c r="B17" s="2" t="str">
        <f>VLOOKUP(A17,A1:E9,3,0)</f>
        <v>Finance</v>
      </c>
    </row>
    <row r="19" spans="1:2" x14ac:dyDescent="0.3">
      <c r="A19">
        <v>3</v>
      </c>
      <c r="B19">
        <v>5</v>
      </c>
    </row>
    <row r="20" spans="1:2" x14ac:dyDescent="0.3">
      <c r="A20" s="1" t="s">
        <v>0</v>
      </c>
      <c r="B20" s="1" t="s">
        <v>3</v>
      </c>
    </row>
    <row r="21" spans="1:2" x14ac:dyDescent="0.3">
      <c r="A21" s="2" t="s">
        <v>12</v>
      </c>
      <c r="B21" s="2">
        <f>VLOOKUP(A21,A1:E9,4,0)</f>
        <v>42000</v>
      </c>
    </row>
  </sheetData>
  <mergeCells count="6">
    <mergeCell ref="N7:T7"/>
    <mergeCell ref="N2:T2"/>
    <mergeCell ref="N3:T3"/>
    <mergeCell ref="N4:T4"/>
    <mergeCell ref="N5:T5"/>
    <mergeCell ref="N6:T6"/>
  </mergeCells>
  <phoneticPr fontId="2" type="noConversion"/>
  <dataValidations count="1">
    <dataValidation type="list" allowBlank="1" showInputMessage="1" showErrorMessage="1" sqref="A13 A17 A21 E13" xr:uid="{EB49B0B9-6FA9-416E-A233-1B51D717DBD3}">
      <formula1>$A$2:$A$9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93B47-2A73-49AD-ABC0-FFAF9F91C8F3}">
  <dimension ref="A1:S14"/>
  <sheetViews>
    <sheetView workbookViewId="0">
      <selection activeCell="M5" sqref="M5:S5"/>
    </sheetView>
  </sheetViews>
  <sheetFormatPr defaultRowHeight="14.4" x14ac:dyDescent="0.3"/>
  <cols>
    <col min="1" max="1" width="9.88671875" bestFit="1" customWidth="1"/>
    <col min="5" max="5" width="9.88671875" bestFit="1" customWidth="1"/>
  </cols>
  <sheetData>
    <row r="1" spans="1:19" x14ac:dyDescent="0.3">
      <c r="A1" s="1" t="s">
        <v>38</v>
      </c>
      <c r="B1" s="1" t="s">
        <v>1</v>
      </c>
      <c r="C1" s="1" t="s">
        <v>39</v>
      </c>
      <c r="D1" s="1" t="s">
        <v>40</v>
      </c>
      <c r="E1" s="1" t="s">
        <v>41</v>
      </c>
    </row>
    <row r="2" spans="1:19" x14ac:dyDescent="0.3">
      <c r="A2" s="2" t="s">
        <v>42</v>
      </c>
      <c r="B2" s="2" t="s">
        <v>47</v>
      </c>
      <c r="C2" s="2">
        <v>78</v>
      </c>
      <c r="D2" s="2">
        <v>82</v>
      </c>
      <c r="E2" s="2">
        <v>74</v>
      </c>
      <c r="M2" s="3" t="s">
        <v>82</v>
      </c>
      <c r="N2" s="3"/>
      <c r="O2" s="3"/>
      <c r="P2" s="3"/>
      <c r="Q2" s="3"/>
      <c r="R2" s="3"/>
      <c r="S2" s="3"/>
    </row>
    <row r="3" spans="1:19" x14ac:dyDescent="0.3">
      <c r="A3" s="2" t="s">
        <v>43</v>
      </c>
      <c r="B3" s="2" t="s">
        <v>48</v>
      </c>
      <c r="C3" s="2">
        <v>65</v>
      </c>
      <c r="D3" s="2">
        <v>70</v>
      </c>
      <c r="E3" s="2">
        <v>68</v>
      </c>
      <c r="M3" s="3" t="s">
        <v>83</v>
      </c>
      <c r="N3" s="3"/>
      <c r="O3" s="3"/>
      <c r="P3" s="3"/>
      <c r="Q3" s="3"/>
      <c r="R3" s="3"/>
      <c r="S3" s="3"/>
    </row>
    <row r="4" spans="1:19" x14ac:dyDescent="0.3">
      <c r="A4" s="2" t="s">
        <v>44</v>
      </c>
      <c r="B4" s="2" t="s">
        <v>49</v>
      </c>
      <c r="C4" s="2">
        <v>88</v>
      </c>
      <c r="D4" s="2">
        <v>91</v>
      </c>
      <c r="E4" s="2">
        <v>85</v>
      </c>
      <c r="M4" s="3" t="s">
        <v>84</v>
      </c>
      <c r="N4" s="3"/>
      <c r="O4" s="3"/>
      <c r="P4" s="3"/>
      <c r="Q4" s="3"/>
      <c r="R4" s="3"/>
      <c r="S4" s="3"/>
    </row>
    <row r="5" spans="1:19" x14ac:dyDescent="0.3">
      <c r="A5" s="2" t="s">
        <v>45</v>
      </c>
      <c r="B5" s="2" t="s">
        <v>17</v>
      </c>
      <c r="C5" s="2">
        <v>72</v>
      </c>
      <c r="D5" s="2">
        <v>75</v>
      </c>
      <c r="E5" s="2">
        <v>70</v>
      </c>
      <c r="M5" s="3" t="s">
        <v>85</v>
      </c>
      <c r="N5" s="3"/>
      <c r="O5" s="3"/>
      <c r="P5" s="3"/>
      <c r="Q5" s="3"/>
      <c r="R5" s="3"/>
      <c r="S5" s="3"/>
    </row>
    <row r="6" spans="1:19" x14ac:dyDescent="0.3">
      <c r="A6" s="2" t="s">
        <v>46</v>
      </c>
      <c r="B6" s="2" t="s">
        <v>50</v>
      </c>
      <c r="C6" s="2">
        <v>90</v>
      </c>
      <c r="D6" s="2">
        <v>93</v>
      </c>
      <c r="E6" s="2">
        <v>89</v>
      </c>
      <c r="M6" s="3" t="s">
        <v>86</v>
      </c>
      <c r="N6" s="3"/>
      <c r="O6" s="3"/>
      <c r="P6" s="3"/>
      <c r="Q6" s="3"/>
      <c r="R6" s="3"/>
      <c r="S6" s="3"/>
    </row>
    <row r="8" spans="1:19" x14ac:dyDescent="0.3">
      <c r="A8">
        <v>1</v>
      </c>
      <c r="E8">
        <v>3</v>
      </c>
    </row>
    <row r="9" spans="1:19" x14ac:dyDescent="0.3">
      <c r="A9" s="1" t="s">
        <v>38</v>
      </c>
      <c r="B9" s="1" t="s">
        <v>39</v>
      </c>
      <c r="E9" s="1" t="s">
        <v>38</v>
      </c>
      <c r="F9" s="1" t="s">
        <v>39</v>
      </c>
    </row>
    <row r="10" spans="1:19" x14ac:dyDescent="0.3">
      <c r="A10" s="2" t="s">
        <v>44</v>
      </c>
      <c r="B10" s="2">
        <f>VLOOKUP(A10,A1:E6,3,0)</f>
        <v>88</v>
      </c>
      <c r="E10" s="2" t="s">
        <v>46</v>
      </c>
      <c r="F10" s="2">
        <f>VLOOKUP(E10,A1:E6,5,0)</f>
        <v>89</v>
      </c>
    </row>
    <row r="12" spans="1:19" x14ac:dyDescent="0.3">
      <c r="A12">
        <v>2</v>
      </c>
      <c r="B12">
        <v>5</v>
      </c>
      <c r="E12">
        <v>4</v>
      </c>
    </row>
    <row r="13" spans="1:19" x14ac:dyDescent="0.3">
      <c r="A13" s="1" t="s">
        <v>38</v>
      </c>
      <c r="B13" s="1" t="s">
        <v>40</v>
      </c>
      <c r="E13" s="1" t="s">
        <v>38</v>
      </c>
      <c r="F13" s="1" t="s">
        <v>1</v>
      </c>
    </row>
    <row r="14" spans="1:19" x14ac:dyDescent="0.3">
      <c r="A14" s="2" t="s">
        <v>43</v>
      </c>
      <c r="B14" s="2">
        <f>VLOOKUP(A14,A1:E6,4,0)</f>
        <v>70</v>
      </c>
      <c r="E14" s="2" t="s">
        <v>45</v>
      </c>
      <c r="F14" s="2" t="str">
        <f>VLOOKUP(E14,A1:E6,2,0)</f>
        <v>Arjun</v>
      </c>
    </row>
  </sheetData>
  <mergeCells count="5">
    <mergeCell ref="M2:S2"/>
    <mergeCell ref="M3:S3"/>
    <mergeCell ref="M4:S4"/>
    <mergeCell ref="M5:S5"/>
    <mergeCell ref="M6:S6"/>
  </mergeCells>
  <phoneticPr fontId="2" type="noConversion"/>
  <dataValidations count="1">
    <dataValidation type="list" allowBlank="1" showInputMessage="1" showErrorMessage="1" sqref="E14 A14" xr:uid="{236FF5B4-93E6-4A8C-875C-65D4B11016E2}">
      <formula1>$A$2:$A$6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3D09-2959-4621-988C-A93132A2D7DF}">
  <dimension ref="A1:M14"/>
  <sheetViews>
    <sheetView tabSelected="1" workbookViewId="0">
      <selection activeCell="J10" sqref="J10"/>
    </sheetView>
  </sheetViews>
  <sheetFormatPr defaultRowHeight="14.4" x14ac:dyDescent="0.3"/>
  <sheetData>
    <row r="1" spans="1:13" x14ac:dyDescent="0.3">
      <c r="A1" s="1" t="s">
        <v>51</v>
      </c>
      <c r="B1" s="1" t="s">
        <v>1</v>
      </c>
      <c r="C1" s="1" t="s">
        <v>52</v>
      </c>
      <c r="D1" s="1" t="s">
        <v>53</v>
      </c>
    </row>
    <row r="2" spans="1:13" x14ac:dyDescent="0.3">
      <c r="A2" s="2" t="s">
        <v>54</v>
      </c>
      <c r="B2" s="2" t="s">
        <v>59</v>
      </c>
      <c r="C2" s="2" t="s">
        <v>67</v>
      </c>
      <c r="D2" s="2">
        <v>3000</v>
      </c>
      <c r="I2" s="3" t="s">
        <v>87</v>
      </c>
      <c r="J2" s="3"/>
      <c r="K2" s="3"/>
      <c r="L2" s="3"/>
      <c r="M2" s="3"/>
    </row>
    <row r="3" spans="1:13" x14ac:dyDescent="0.3">
      <c r="A3" s="2" t="s">
        <v>55</v>
      </c>
      <c r="B3" s="2" t="s">
        <v>60</v>
      </c>
      <c r="C3" s="2" t="s">
        <v>66</v>
      </c>
      <c r="D3" s="2">
        <v>5000</v>
      </c>
      <c r="I3" s="3" t="s">
        <v>88</v>
      </c>
      <c r="J3" s="3"/>
      <c r="K3" s="3"/>
      <c r="L3" s="3"/>
      <c r="M3" s="3"/>
    </row>
    <row r="4" spans="1:13" x14ac:dyDescent="0.3">
      <c r="A4" s="2" t="s">
        <v>56</v>
      </c>
      <c r="B4" s="2" t="s">
        <v>61</v>
      </c>
      <c r="C4" s="2" t="s">
        <v>65</v>
      </c>
      <c r="D4" s="2">
        <v>4000</v>
      </c>
      <c r="I4" s="3" t="s">
        <v>89</v>
      </c>
      <c r="J4" s="3"/>
      <c r="K4" s="3"/>
      <c r="L4" s="3"/>
      <c r="M4" s="3"/>
    </row>
    <row r="5" spans="1:13" x14ac:dyDescent="0.3">
      <c r="A5" s="2" t="s">
        <v>57</v>
      </c>
      <c r="B5" s="2" t="s">
        <v>14</v>
      </c>
      <c r="C5" s="2" t="s">
        <v>64</v>
      </c>
      <c r="D5" s="2">
        <v>6000</v>
      </c>
      <c r="I5" s="3" t="s">
        <v>95</v>
      </c>
      <c r="J5" s="3"/>
      <c r="K5" s="3"/>
      <c r="L5" s="3"/>
      <c r="M5" s="3"/>
    </row>
    <row r="6" spans="1:13" x14ac:dyDescent="0.3">
      <c r="A6" s="2" t="s">
        <v>58</v>
      </c>
      <c r="B6" s="2" t="s">
        <v>62</v>
      </c>
      <c r="C6" s="2" t="s">
        <v>63</v>
      </c>
      <c r="D6" s="2">
        <v>4500</v>
      </c>
    </row>
    <row r="8" spans="1:13" x14ac:dyDescent="0.3">
      <c r="A8">
        <v>1</v>
      </c>
      <c r="D8">
        <v>2</v>
      </c>
      <c r="E8">
        <v>4</v>
      </c>
    </row>
    <row r="9" spans="1:13" x14ac:dyDescent="0.3">
      <c r="A9" s="1" t="s">
        <v>51</v>
      </c>
      <c r="B9" s="1" t="s">
        <v>52</v>
      </c>
      <c r="D9" s="1" t="s">
        <v>51</v>
      </c>
      <c r="E9" s="1" t="s">
        <v>53</v>
      </c>
    </row>
    <row r="10" spans="1:13" x14ac:dyDescent="0.3">
      <c r="A10" s="2" t="s">
        <v>56</v>
      </c>
      <c r="B10" s="2" t="str">
        <f>VLOOKUP(A10,A1:D6,3,0)</f>
        <v>SQL</v>
      </c>
      <c r="D10" s="2" t="s">
        <v>57</v>
      </c>
      <c r="E10" s="2">
        <f>VLOOKUP(D10,A1:D6,4,0)</f>
        <v>6000</v>
      </c>
    </row>
    <row r="12" spans="1:13" x14ac:dyDescent="0.3">
      <c r="A12">
        <v>3</v>
      </c>
    </row>
    <row r="13" spans="1:13" x14ac:dyDescent="0.3">
      <c r="A13" s="1" t="s">
        <v>51</v>
      </c>
      <c r="B13" s="1" t="s">
        <v>1</v>
      </c>
    </row>
    <row r="14" spans="1:13" x14ac:dyDescent="0.3">
      <c r="A14" s="2" t="s">
        <v>56</v>
      </c>
      <c r="B14" s="2" t="str">
        <f>VLOOKUP(A14,A1:D6,2,0)</f>
        <v>Vikram</v>
      </c>
    </row>
  </sheetData>
  <mergeCells count="4">
    <mergeCell ref="I2:M2"/>
    <mergeCell ref="I3:M3"/>
    <mergeCell ref="I4:M4"/>
    <mergeCell ref="I5:M5"/>
  </mergeCells>
  <phoneticPr fontId="2" type="noConversion"/>
  <dataValidations count="1">
    <dataValidation type="list" allowBlank="1" showInputMessage="1" showErrorMessage="1" sqref="A14 D10" xr:uid="{CAAA690D-7525-4259-A7F1-40A40510A07E}">
      <formula1>$A$2:$A$6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169AF-317E-4826-B42D-1B8DB9750DC5}">
  <dimension ref="A1:M12"/>
  <sheetViews>
    <sheetView workbookViewId="0">
      <selection activeCell="K11" sqref="K11"/>
    </sheetView>
  </sheetViews>
  <sheetFormatPr defaultRowHeight="14.4" x14ac:dyDescent="0.3"/>
  <cols>
    <col min="1" max="2" width="12.6640625" bestFit="1" customWidth="1"/>
    <col min="5" max="5" width="9.5546875" bestFit="1" customWidth="1"/>
  </cols>
  <sheetData>
    <row r="1" spans="1:13" x14ac:dyDescent="0.3">
      <c r="A1" s="1" t="s">
        <v>68</v>
      </c>
      <c r="B1" s="2" t="s">
        <v>72</v>
      </c>
      <c r="C1" s="2" t="s">
        <v>73</v>
      </c>
      <c r="D1" s="2" t="s">
        <v>74</v>
      </c>
      <c r="E1" s="2" t="s">
        <v>75</v>
      </c>
      <c r="F1" s="2" t="s">
        <v>76</v>
      </c>
    </row>
    <row r="2" spans="1:13" x14ac:dyDescent="0.3">
      <c r="A2" s="1" t="s">
        <v>69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I2" s="3" t="s">
        <v>92</v>
      </c>
      <c r="J2" s="3"/>
      <c r="K2" s="3"/>
      <c r="L2" s="3"/>
      <c r="M2" s="3"/>
    </row>
    <row r="3" spans="1:13" x14ac:dyDescent="0.3">
      <c r="A3" s="1" t="s">
        <v>70</v>
      </c>
      <c r="B3" s="2">
        <v>55000</v>
      </c>
      <c r="C3" s="2">
        <v>500</v>
      </c>
      <c r="D3" s="2">
        <v>1200</v>
      </c>
      <c r="E3" s="2">
        <v>9000</v>
      </c>
      <c r="F3" s="2">
        <v>7000</v>
      </c>
      <c r="I3" s="3" t="s">
        <v>93</v>
      </c>
      <c r="J3" s="3"/>
      <c r="K3" s="3"/>
      <c r="L3" s="3"/>
      <c r="M3" s="3"/>
    </row>
    <row r="4" spans="1:13" x14ac:dyDescent="0.3">
      <c r="A4" s="1" t="s">
        <v>71</v>
      </c>
      <c r="B4" s="2">
        <v>25</v>
      </c>
      <c r="C4" s="2">
        <v>150</v>
      </c>
      <c r="D4" s="2">
        <v>80</v>
      </c>
      <c r="E4" s="2">
        <v>40</v>
      </c>
      <c r="F4" s="2">
        <v>35</v>
      </c>
      <c r="I4" s="3" t="s">
        <v>94</v>
      </c>
      <c r="J4" s="3"/>
      <c r="K4" s="3"/>
      <c r="L4" s="3"/>
      <c r="M4" s="3"/>
    </row>
    <row r="5" spans="1:13" x14ac:dyDescent="0.3">
      <c r="I5" s="3" t="s">
        <v>90</v>
      </c>
      <c r="J5" s="3"/>
      <c r="K5" s="3"/>
      <c r="L5" s="3"/>
      <c r="M5" s="3"/>
    </row>
    <row r="6" spans="1:13" x14ac:dyDescent="0.3">
      <c r="A6">
        <v>1</v>
      </c>
      <c r="B6">
        <v>4</v>
      </c>
      <c r="E6">
        <v>2</v>
      </c>
      <c r="F6">
        <v>5</v>
      </c>
      <c r="I6" s="3" t="s">
        <v>91</v>
      </c>
      <c r="J6" s="3"/>
      <c r="K6" s="3"/>
      <c r="L6" s="3"/>
      <c r="M6" s="3"/>
    </row>
    <row r="7" spans="1:13" x14ac:dyDescent="0.3">
      <c r="A7" s="1" t="s">
        <v>68</v>
      </c>
      <c r="B7" s="1" t="s">
        <v>70</v>
      </c>
      <c r="E7" s="1" t="s">
        <v>68</v>
      </c>
      <c r="F7" s="1" t="s">
        <v>71</v>
      </c>
    </row>
    <row r="8" spans="1:13" x14ac:dyDescent="0.3">
      <c r="A8" s="2" t="s">
        <v>74</v>
      </c>
      <c r="B8" s="2">
        <f>HLOOKUP(A8,A1:F4,3,0)</f>
        <v>1200</v>
      </c>
      <c r="E8" s="2" t="s">
        <v>75</v>
      </c>
      <c r="F8" s="2">
        <f>HLOOKUP(E8,A1:F4,4,0)</f>
        <v>40</v>
      </c>
    </row>
    <row r="11" spans="1:13" x14ac:dyDescent="0.3">
      <c r="A11" s="1" t="s">
        <v>68</v>
      </c>
      <c r="B11" s="1" t="s">
        <v>69</v>
      </c>
    </row>
    <row r="12" spans="1:13" x14ac:dyDescent="0.3">
      <c r="A12" s="2" t="s">
        <v>72</v>
      </c>
      <c r="B12" s="2" t="str">
        <f>HLOOKUP(A12,A1:F4,2,0)</f>
        <v>Laptop</v>
      </c>
    </row>
  </sheetData>
  <mergeCells count="5">
    <mergeCell ref="I2:M2"/>
    <mergeCell ref="I3:M3"/>
    <mergeCell ref="I4:M4"/>
    <mergeCell ref="I5:M5"/>
    <mergeCell ref="I6:M6"/>
  </mergeCells>
  <phoneticPr fontId="2" type="noConversion"/>
  <dataValidations count="1">
    <dataValidation type="list" allowBlank="1" showInputMessage="1" showErrorMessage="1" sqref="A8 E8" xr:uid="{CC2EFC99-B527-4B2E-94AE-F06DCB0D32BA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</vt:lpstr>
      <vt:lpstr>Students</vt:lpstr>
      <vt:lpstr>Course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Ayon Chakraborty</dc:creator>
  <cp:lastModifiedBy>Ayon Chakraborty</cp:lastModifiedBy>
  <dcterms:created xsi:type="dcterms:W3CDTF">2026-08-07T08:46:32Z</dcterms:created>
  <dcterms:modified xsi:type="dcterms:W3CDTF">2026-08-10T12:15:15Z</dcterms:modified>
</cp:coreProperties>
</file>